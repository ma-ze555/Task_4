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https://d.docs.live.net/BBAC625B537F50F4/Documents/"/>
    </mc:Choice>
  </mc:AlternateContent>
  <xr:revisionPtr revIDLastSave="0" documentId="8_{D36CC032-2EDA-4CC6-B780-4119A7939550}" xr6:coauthVersionLast="47" xr6:coauthVersionMax="47" xr10:uidLastSave="{00000000-0000-0000-0000-000000000000}"/>
  <bookViews>
    <workbookView xWindow="-108" yWindow="-108" windowWidth="23256" windowHeight="12456" tabRatio="644" activeTab="1" xr2:uid="{00000000-000D-0000-FFFF-FFFF00000000}"/>
  </bookViews>
  <sheets>
    <sheet name="Marketing Campaign Performance " sheetId="4" r:id="rId1"/>
    <sheet name="Business Insights Report" sheetId="6" r:id="rId2"/>
    <sheet name="Roi_Analysis" sheetId="5" r:id="rId3"/>
    <sheet name="CampaignPerformance" sheetId="1" r:id="rId4"/>
    <sheet name="CampaignMeta" sheetId="2" r:id="rId5"/>
    <sheet name="ChannelRates" sheetId="3" r:id="rId6"/>
  </sheets>
  <definedNames>
    <definedName name="_xlnm._FilterDatabase" localSheetId="3" hidden="1">CampaignPerformance!$A$1:$M$764</definedName>
  </definedNames>
  <calcPr calcId="191029"/>
  <pivotCaches>
    <pivotCache cacheId="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5" l="1"/>
  <c r="B4" i="5"/>
  <c r="B5" i="5"/>
  <c r="B6" i="5"/>
  <c r="B3" i="5"/>
  <c r="Q5" i="4"/>
  <c r="Q6" i="4"/>
  <c r="O6" i="4" s="1"/>
  <c r="Q7" i="4"/>
  <c r="O7" i="4" s="1"/>
  <c r="Q8" i="4"/>
  <c r="Q4" i="4"/>
  <c r="L768" i="1"/>
  <c r="L767" i="1"/>
  <c r="L766" i="1"/>
  <c r="K766" i="1"/>
  <c r="P5" i="4"/>
  <c r="P6" i="4"/>
  <c r="P7" i="4"/>
  <c r="P8" i="4"/>
  <c r="P4" i="4"/>
  <c r="M5" i="4"/>
  <c r="M6" i="4"/>
  <c r="M7" i="4"/>
  <c r="M8" i="4"/>
  <c r="M4" i="4"/>
  <c r="L5" i="4"/>
  <c r="L6" i="4"/>
  <c r="L7" i="4"/>
  <c r="L8" i="4"/>
  <c r="L4" i="4"/>
  <c r="K5" i="4"/>
  <c r="K6" i="4"/>
  <c r="K7" i="4"/>
  <c r="K8" i="4"/>
  <c r="K4" i="4"/>
  <c r="J5" i="4"/>
  <c r="J6" i="4"/>
  <c r="J7" i="4"/>
  <c r="J8" i="4"/>
  <c r="J4" i="4"/>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4" i="1"/>
  <c r="P5" i="1"/>
  <c r="P6" i="1"/>
  <c r="P7" i="1"/>
  <c r="P8" i="1"/>
  <c r="P9" i="1"/>
  <c r="P10" i="1"/>
  <c r="P11" i="1"/>
  <c r="P12" i="1"/>
  <c r="P13" i="1"/>
  <c r="P14" i="1"/>
  <c r="P15" i="1"/>
  <c r="P16" i="1"/>
  <c r="P3" i="1"/>
  <c r="P17"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2" i="1"/>
  <c r="P9" i="4" l="1"/>
  <c r="R4" i="4"/>
  <c r="R8" i="4"/>
  <c r="R5" i="4"/>
  <c r="N4" i="4"/>
  <c r="N7" i="4"/>
  <c r="N5" i="4"/>
  <c r="R7" i="4"/>
  <c r="O4" i="4"/>
  <c r="R6" i="4"/>
  <c r="O8" i="4"/>
  <c r="N6" i="4"/>
  <c r="Q9" i="4"/>
  <c r="O5" i="4"/>
  <c r="N8" i="4"/>
  <c r="N9" i="4" l="1"/>
  <c r="O9" i="4"/>
  <c r="R9" i="4"/>
</calcChain>
</file>

<file path=xl/sharedStrings.xml><?xml version="1.0" encoding="utf-8"?>
<sst xmlns="http://schemas.openxmlformats.org/spreadsheetml/2006/main" count="3945" uniqueCount="119">
  <si>
    <t>Date</t>
  </si>
  <si>
    <t>CampaignID</t>
  </si>
  <si>
    <t>CampaignName</t>
  </si>
  <si>
    <t>Platform</t>
  </si>
  <si>
    <t>TargetAudience</t>
  </si>
  <si>
    <t>Impressions</t>
  </si>
  <si>
    <t>Clicks</t>
  </si>
  <si>
    <t>Leads</t>
  </si>
  <si>
    <t>Applications</t>
  </si>
  <si>
    <t>Enrollments</t>
  </si>
  <si>
    <t>Cost (₹)</t>
  </si>
  <si>
    <t>Revenue (₹)</t>
  </si>
  <si>
    <t>Region</t>
  </si>
  <si>
    <t>AD001</t>
  </si>
  <si>
    <t>AD002</t>
  </si>
  <si>
    <t>AD003</t>
  </si>
  <si>
    <t>AD004</t>
  </si>
  <si>
    <t>AD005</t>
  </si>
  <si>
    <t>UG Admission</t>
  </si>
  <si>
    <t>MBA Admission</t>
  </si>
  <si>
    <t>Placements</t>
  </si>
  <si>
    <t>Hackathon</t>
  </si>
  <si>
    <t>Semester Exchange Program</t>
  </si>
  <si>
    <t>Google Ads</t>
  </si>
  <si>
    <t>Facebook</t>
  </si>
  <si>
    <t>LinkedIn</t>
  </si>
  <si>
    <t>YouTube</t>
  </si>
  <si>
    <t>Instagram</t>
  </si>
  <si>
    <t>22–27 Age</t>
  </si>
  <si>
    <t>17–21 Age</t>
  </si>
  <si>
    <t>25–35 Age</t>
  </si>
  <si>
    <t>Pan India</t>
  </si>
  <si>
    <t>South India</t>
  </si>
  <si>
    <t>North India</t>
  </si>
  <si>
    <t>West India</t>
  </si>
  <si>
    <t>East India</t>
  </si>
  <si>
    <t>Objective</t>
  </si>
  <si>
    <t>StartDate</t>
  </si>
  <si>
    <t>EndDate</t>
  </si>
  <si>
    <t>Budget (₹)</t>
  </si>
  <si>
    <t>Campaign Type</t>
  </si>
  <si>
    <t>Creative Type</t>
  </si>
  <si>
    <t>Manager</t>
  </si>
  <si>
    <t>Channel</t>
  </si>
  <si>
    <t>Conversion Goal</t>
  </si>
  <si>
    <t>Lead Generation</t>
  </si>
  <si>
    <t>Admissions</t>
  </si>
  <si>
    <t>Career Promotion</t>
  </si>
  <si>
    <t>Brand Awareness</t>
  </si>
  <si>
    <t>Student Exchange</t>
  </si>
  <si>
    <t>2024-03-01</t>
  </si>
  <si>
    <t>2025-05-01</t>
  </si>
  <si>
    <t>2025-01-01</t>
  </si>
  <si>
    <t>2024-01-01</t>
  </si>
  <si>
    <t>2024-08-01</t>
  </si>
  <si>
    <t>2024-08-31</t>
  </si>
  <si>
    <t>2025-10-31</t>
  </si>
  <si>
    <t>2025-05-31</t>
  </si>
  <si>
    <t>2024-03-31</t>
  </si>
  <si>
    <t>2024-12-31</t>
  </si>
  <si>
    <t>Paid Search</t>
  </si>
  <si>
    <t>Paid Social</t>
  </si>
  <si>
    <t>Professional Networking</t>
  </si>
  <si>
    <t>Event Marketing</t>
  </si>
  <si>
    <t>Social Media</t>
  </si>
  <si>
    <t>Static Ads</t>
  </si>
  <si>
    <t>Video</t>
  </si>
  <si>
    <t>Carousel</t>
  </si>
  <si>
    <t>Reels</t>
  </si>
  <si>
    <t>Priya</t>
  </si>
  <si>
    <t>Rohit</t>
  </si>
  <si>
    <t>Ananya</t>
  </si>
  <si>
    <t>Arjun</t>
  </si>
  <si>
    <t>Megha</t>
  </si>
  <si>
    <t>Application</t>
  </si>
  <si>
    <t>Lead</t>
  </si>
  <si>
    <t>Placement</t>
  </si>
  <si>
    <t>Registration</t>
  </si>
  <si>
    <t>AvgCPM</t>
  </si>
  <si>
    <t>AvgCPC</t>
  </si>
  <si>
    <t>Remarks</t>
  </si>
  <si>
    <t>High search volume</t>
  </si>
  <si>
    <t>Engagement focused</t>
  </si>
  <si>
    <t>Professional targeting</t>
  </si>
  <si>
    <t>Video rich</t>
  </si>
  <si>
    <t>Youth appeal</t>
  </si>
  <si>
    <t>21–35 Age</t>
  </si>
  <si>
    <t>Duplicate_Check</t>
  </si>
  <si>
    <t>Funnel_Check</t>
  </si>
  <si>
    <t>CTR (%)</t>
  </si>
  <si>
    <t>Click_to_Lead_Rate (%)</t>
  </si>
  <si>
    <t>Lead_to_Application_Rate (%)</t>
  </si>
  <si>
    <t>Application_to_Enrollment_Rate (%)</t>
  </si>
  <si>
    <t>ROI (%)</t>
  </si>
  <si>
    <t>ROAS</t>
  </si>
  <si>
    <t>Row Labels</t>
  </si>
  <si>
    <t>Grand Total</t>
  </si>
  <si>
    <t>Sum of Impressions</t>
  </si>
  <si>
    <t>Sum of Clicks</t>
  </si>
  <si>
    <t>Sum of Leads</t>
  </si>
  <si>
    <t>Sum of Applications</t>
  </si>
  <si>
    <t>Sum of Enrollments</t>
  </si>
  <si>
    <t>Click-to-Lead (%)</t>
  </si>
  <si>
    <t>Lead-to-Application (%)</t>
  </si>
  <si>
    <t>Application-to-Enrollment (%)</t>
  </si>
  <si>
    <t>Planned Budget (₹)</t>
  </si>
  <si>
    <t>Actual Cost (₹)</t>
  </si>
  <si>
    <t>Cost vs Budget (%)</t>
  </si>
  <si>
    <t>Marketing Campaign Performance Dashboard</t>
  </si>
  <si>
    <t>Business Insights Report: Marketing Campaign Performance</t>
  </si>
  <si>
    <t>The objective of this analysis is to evaluate marketing campaign performance across Facebook, Google Ads, Instagram, LinkedIn, and YouTube by examining audience engagement, conversion rates, enrollments, costs, and return on investment (ROI).</t>
  </si>
  <si>
    <t>Key Findings</t>
  </si>
  <si>
    <t>The analysis compares five marketing platforms using impressions, clicks, leads, applications, enrollments, campaign costs, revenue, and ROI to identify differences in performance.</t>
  </si>
  <si>
    <t>Platform Performance</t>
  </si>
  <si>
    <t>LinkedIn recorded the highest ROI at 2,444.56%, followed by Instagram at 2,300.77%, Facebook at 2,245.78%, Google Ads at 2,197.14%, and YouTube at 2,112.57%.</t>
  </si>
  <si>
    <t>Budget and Cost Analysis</t>
  </si>
  <si>
    <t>The total planned budget was ₹63,00,000, while total actual campaign costs were approximately ₹9,14,48,131. Actual spending substantially exceeded the planned budget, indicating a need for closer budget monitoring, cost control, and investigation of the differences between planned and actual costs.</t>
  </si>
  <si>
    <t>Recommendations</t>
  </si>
  <si>
    <t>The business should investigate why actual campaign costs exceed the planned budget. LinkedIn showed the highest reported ROI, making it a platform worth investigating for further investment, while YouTube's comparatively lower ROI should be reviewed for optimization opportunities. Before reallocating budgets, validate the cost and revenue calculations, compare conversion rates across platforms, and monitor campaign performance regularly to ensure that future spending aligns with business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</si>
</sst>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yyyy\-mm\-dd"/>
    <numFmt numFmtId="165" formatCode="&quot;₹&quot;\ #,##0"/>
    <numFmt numFmtId="177" formatCode="&quot;₹&quot;\ #,##0.00"/>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b/>
      <sz val="18"/>
      <color theme="4"/>
      <name val="Calibri"/>
      <family val="2"/>
      <scheme val="minor"/>
    </font>
    <font>
      <b/>
      <sz val="16"/>
      <color theme="4"/>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43"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0" fontId="1" fillId="0" borderId="2" xfId="0" applyFont="1" applyFill="1" applyBorder="1" applyAlignment="1">
      <alignment horizontal="center" vertical="top"/>
    </xf>
    <xf numFmtId="2" fontId="0" fillId="0" borderId="0" xfId="0" applyNumberFormat="1"/>
    <xf numFmtId="0" fontId="1" fillId="0" borderId="0" xfId="0" applyFont="1"/>
    <xf numFmtId="0" fontId="0" fillId="0" borderId="0" xfId="0" pivotButton="1"/>
    <xf numFmtId="0" fontId="0" fillId="0" borderId="0" xfId="0" applyAlignment="1">
      <alignment horizontal="left"/>
    </xf>
    <xf numFmtId="43" fontId="0" fillId="0" borderId="0" xfId="0" applyNumberFormat="1"/>
    <xf numFmtId="2" fontId="0" fillId="0" borderId="0" xfId="1" applyNumberFormat="1" applyFont="1"/>
    <xf numFmtId="177" fontId="0" fillId="0" borderId="0" xfId="1" applyNumberFormat="1" applyFont="1"/>
    <xf numFmtId="0" fontId="4" fillId="0" borderId="0" xfId="0" applyFont="1" applyAlignment="1">
      <alignment horizontal="center" wrapText="1"/>
    </xf>
    <xf numFmtId="0" fontId="3" fillId="0" borderId="0" xfId="0" applyFont="1"/>
    <xf numFmtId="0" fontId="0" fillId="0" borderId="0" xfId="0" applyAlignment="1">
      <alignment wrapText="1"/>
    </xf>
    <xf numFmtId="0" fontId="5" fillId="0" borderId="0" xfId="0" applyFont="1" applyAlignment="1"/>
  </cellXfs>
  <cellStyles count="2">
    <cellStyle name="Comma" xfId="1" builtinId="3"/>
    <cellStyle name="Normal" xfId="0" builtinId="0"/>
  </cellStyles>
  <dxfs count="4">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[Marketing_Campaign_Data.xlsx]Marketing Campaign Performance !PivotTable1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Enrollments by Marketing Platform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 Campaign Performance '!$B$3</c:f>
              <c:strCache>
                <c:ptCount val="1"/>
                <c:pt idx="0">
                  <c:v>Sum of Impressions</c:v>
                </c:pt>
              </c:strCache>
            </c:strRef>
          </c:tx>
          <c:spPr>
            <a:solidFill>
              <a:schemeClr val="accent1"/>
            </a:solidFill>
            <a:ln>
              <a:noFill/>
            </a:ln>
            <a:effectLst/>
          </c:spPr>
          <c:invertIfNegative val="0"/>
          <c:cat>
            <c:strRef>
              <c:f>'Marketing Campaign Performance '!$A$4:$A$9</c:f>
              <c:strCache>
                <c:ptCount val="5"/>
                <c:pt idx="0">
                  <c:v>Facebook</c:v>
                </c:pt>
                <c:pt idx="1">
                  <c:v>Google Ads</c:v>
                </c:pt>
                <c:pt idx="2">
                  <c:v>Instagram</c:v>
                </c:pt>
                <c:pt idx="3">
                  <c:v>LinkedIn</c:v>
                </c:pt>
                <c:pt idx="4">
                  <c:v>YouTube</c:v>
                </c:pt>
              </c:strCache>
            </c:strRef>
          </c:cat>
          <c:val>
            <c:numRef>
              <c:f>'Marketing Campaign Performance '!$B$4:$B$9</c:f>
              <c:numCache>
                <c:formatCode>_(* #,##0.00_);_(* \(#,##0.00\);_(* "-"??_);_(@_)</c:formatCode>
                <c:ptCount val="5"/>
                <c:pt idx="0">
                  <c:v>31329302</c:v>
                </c:pt>
                <c:pt idx="1">
                  <c:v>31963554</c:v>
                </c:pt>
                <c:pt idx="2">
                  <c:v>24699279</c:v>
                </c:pt>
                <c:pt idx="3">
                  <c:v>26146791</c:v>
                </c:pt>
                <c:pt idx="4">
                  <c:v>15019263</c:v>
                </c:pt>
              </c:numCache>
            </c:numRef>
          </c:val>
          <c:extLst>
            <c:ext xmlns:c16="http://schemas.microsoft.com/office/drawing/2014/chart" uri="{C3380CC4-5D6E-409C-BE32-E72D297353CC}">
              <c16:uniqueId val="{00000000-D8E3-4B3D-9641-3A2E69A10A5E}"/>
            </c:ext>
          </c:extLst>
        </c:ser>
        <c:ser>
          <c:idx val="1"/>
          <c:order val="1"/>
          <c:tx>
            <c:strRef>
              <c:f>'Marketing Campaign Performance '!$C$3</c:f>
              <c:strCache>
                <c:ptCount val="1"/>
                <c:pt idx="0">
                  <c:v>Sum of Clicks</c:v>
                </c:pt>
              </c:strCache>
            </c:strRef>
          </c:tx>
          <c:spPr>
            <a:solidFill>
              <a:schemeClr val="accent2"/>
            </a:solidFill>
            <a:ln>
              <a:noFill/>
            </a:ln>
            <a:effectLst/>
          </c:spPr>
          <c:invertIfNegative val="0"/>
          <c:cat>
            <c:strRef>
              <c:f>'Marketing Campaign Performance '!$A$4:$A$9</c:f>
              <c:strCache>
                <c:ptCount val="5"/>
                <c:pt idx="0">
                  <c:v>Facebook</c:v>
                </c:pt>
                <c:pt idx="1">
                  <c:v>Google Ads</c:v>
                </c:pt>
                <c:pt idx="2">
                  <c:v>Instagram</c:v>
                </c:pt>
                <c:pt idx="3">
                  <c:v>LinkedIn</c:v>
                </c:pt>
                <c:pt idx="4">
                  <c:v>YouTube</c:v>
                </c:pt>
              </c:strCache>
            </c:strRef>
          </c:cat>
          <c:val>
            <c:numRef>
              <c:f>'Marketing Campaign Performance '!$C$4:$C$9</c:f>
              <c:numCache>
                <c:formatCode>_(* #,##0.00_);_(* \(#,##0.00\);_(* "-"??_);_(@_)</c:formatCode>
                <c:ptCount val="5"/>
                <c:pt idx="0">
                  <c:v>1740443</c:v>
                </c:pt>
                <c:pt idx="1">
                  <c:v>1751859</c:v>
                </c:pt>
                <c:pt idx="2">
                  <c:v>1347998</c:v>
                </c:pt>
                <c:pt idx="3">
                  <c:v>1460099</c:v>
                </c:pt>
                <c:pt idx="4">
                  <c:v>838013</c:v>
                </c:pt>
              </c:numCache>
            </c:numRef>
          </c:val>
          <c:extLst>
            <c:ext xmlns:c16="http://schemas.microsoft.com/office/drawing/2014/chart" uri="{C3380CC4-5D6E-409C-BE32-E72D297353CC}">
              <c16:uniqueId val="{00000001-D8E3-4B3D-9641-3A2E69A10A5E}"/>
            </c:ext>
          </c:extLst>
        </c:ser>
        <c:ser>
          <c:idx val="2"/>
          <c:order val="2"/>
          <c:tx>
            <c:strRef>
              <c:f>'Marketing Campaign Performance '!$D$3</c:f>
              <c:strCache>
                <c:ptCount val="1"/>
                <c:pt idx="0">
                  <c:v>Sum of Leads</c:v>
                </c:pt>
              </c:strCache>
            </c:strRef>
          </c:tx>
          <c:spPr>
            <a:solidFill>
              <a:schemeClr val="accent3"/>
            </a:solidFill>
            <a:ln>
              <a:noFill/>
            </a:ln>
            <a:effectLst/>
          </c:spPr>
          <c:invertIfNegative val="0"/>
          <c:cat>
            <c:strRef>
              <c:f>'Marketing Campaign Performance '!$A$4:$A$9</c:f>
              <c:strCache>
                <c:ptCount val="5"/>
                <c:pt idx="0">
                  <c:v>Facebook</c:v>
                </c:pt>
                <c:pt idx="1">
                  <c:v>Google Ads</c:v>
                </c:pt>
                <c:pt idx="2">
                  <c:v>Instagram</c:v>
                </c:pt>
                <c:pt idx="3">
                  <c:v>LinkedIn</c:v>
                </c:pt>
                <c:pt idx="4">
                  <c:v>YouTube</c:v>
                </c:pt>
              </c:strCache>
            </c:strRef>
          </c:cat>
          <c:val>
            <c:numRef>
              <c:f>'Marketing Campaign Performance '!$D$4:$D$9</c:f>
              <c:numCache>
                <c:formatCode>_(* #,##0.00_);_(* \(#,##0.00\);_(* "-"??_);_(@_)</c:formatCode>
                <c:ptCount val="5"/>
                <c:pt idx="0">
                  <c:v>350452</c:v>
                </c:pt>
                <c:pt idx="1">
                  <c:v>346441</c:v>
                </c:pt>
                <c:pt idx="2">
                  <c:v>270522</c:v>
                </c:pt>
                <c:pt idx="3">
                  <c:v>292161</c:v>
                </c:pt>
                <c:pt idx="4">
                  <c:v>161708</c:v>
                </c:pt>
              </c:numCache>
            </c:numRef>
          </c:val>
          <c:extLst>
            <c:ext xmlns:c16="http://schemas.microsoft.com/office/drawing/2014/chart" uri="{C3380CC4-5D6E-409C-BE32-E72D297353CC}">
              <c16:uniqueId val="{00000002-D8E3-4B3D-9641-3A2E69A10A5E}"/>
            </c:ext>
          </c:extLst>
        </c:ser>
        <c:ser>
          <c:idx val="3"/>
          <c:order val="3"/>
          <c:tx>
            <c:strRef>
              <c:f>'Marketing Campaign Performance '!$E$3</c:f>
              <c:strCache>
                <c:ptCount val="1"/>
                <c:pt idx="0">
                  <c:v>Sum of Applications</c:v>
                </c:pt>
              </c:strCache>
            </c:strRef>
          </c:tx>
          <c:spPr>
            <a:solidFill>
              <a:schemeClr val="accent4"/>
            </a:solidFill>
            <a:ln>
              <a:noFill/>
            </a:ln>
            <a:effectLst/>
          </c:spPr>
          <c:invertIfNegative val="0"/>
          <c:cat>
            <c:strRef>
              <c:f>'Marketing Campaign Performance '!$A$4:$A$9</c:f>
              <c:strCache>
                <c:ptCount val="5"/>
                <c:pt idx="0">
                  <c:v>Facebook</c:v>
                </c:pt>
                <c:pt idx="1">
                  <c:v>Google Ads</c:v>
                </c:pt>
                <c:pt idx="2">
                  <c:v>Instagram</c:v>
                </c:pt>
                <c:pt idx="3">
                  <c:v>LinkedIn</c:v>
                </c:pt>
                <c:pt idx="4">
                  <c:v>YouTube</c:v>
                </c:pt>
              </c:strCache>
            </c:strRef>
          </c:cat>
          <c:val>
            <c:numRef>
              <c:f>'Marketing Campaign Performance '!$E$4:$E$9</c:f>
              <c:numCache>
                <c:formatCode>_(* #,##0.00_);_(* \(#,##0.00\);_(* "-"??_);_(@_)</c:formatCode>
                <c:ptCount val="5"/>
                <c:pt idx="0">
                  <c:v>191054</c:v>
                </c:pt>
                <c:pt idx="1">
                  <c:v>190327</c:v>
                </c:pt>
                <c:pt idx="2">
                  <c:v>148302</c:v>
                </c:pt>
                <c:pt idx="3">
                  <c:v>163739</c:v>
                </c:pt>
                <c:pt idx="4">
                  <c:v>90194</c:v>
                </c:pt>
              </c:numCache>
            </c:numRef>
          </c:val>
          <c:extLst>
            <c:ext xmlns:c16="http://schemas.microsoft.com/office/drawing/2014/chart" uri="{C3380CC4-5D6E-409C-BE32-E72D297353CC}">
              <c16:uniqueId val="{00000003-D8E3-4B3D-9641-3A2E69A10A5E}"/>
            </c:ext>
          </c:extLst>
        </c:ser>
        <c:ser>
          <c:idx val="4"/>
          <c:order val="4"/>
          <c:tx>
            <c:strRef>
              <c:f>'Marketing Campaign Performance '!$F$3</c:f>
              <c:strCache>
                <c:ptCount val="1"/>
                <c:pt idx="0">
                  <c:v>Sum of Enrollments</c:v>
                </c:pt>
              </c:strCache>
            </c:strRef>
          </c:tx>
          <c:spPr>
            <a:solidFill>
              <a:schemeClr val="accent5"/>
            </a:solidFill>
            <a:ln>
              <a:noFill/>
            </a:ln>
            <a:effectLst/>
          </c:spPr>
          <c:invertIfNegative val="0"/>
          <c:cat>
            <c:strRef>
              <c:f>'Marketing Campaign Performance '!$A$4:$A$9</c:f>
              <c:strCache>
                <c:ptCount val="5"/>
                <c:pt idx="0">
                  <c:v>Facebook</c:v>
                </c:pt>
                <c:pt idx="1">
                  <c:v>Google Ads</c:v>
                </c:pt>
                <c:pt idx="2">
                  <c:v>Instagram</c:v>
                </c:pt>
                <c:pt idx="3">
                  <c:v>LinkedIn</c:v>
                </c:pt>
                <c:pt idx="4">
                  <c:v>YouTube</c:v>
                </c:pt>
              </c:strCache>
            </c:strRef>
          </c:cat>
          <c:val>
            <c:numRef>
              <c:f>'Marketing Campaign Performance '!$F$4:$F$9</c:f>
              <c:numCache>
                <c:formatCode>_(* #,##0.00_);_(* \(#,##0.00\);_(* "-"??_);_(@_)</c:formatCode>
                <c:ptCount val="5"/>
                <c:pt idx="0">
                  <c:v>94199</c:v>
                </c:pt>
                <c:pt idx="1">
                  <c:v>95402</c:v>
                </c:pt>
                <c:pt idx="2">
                  <c:v>75249</c:v>
                </c:pt>
                <c:pt idx="3">
                  <c:v>83522</c:v>
                </c:pt>
                <c:pt idx="4">
                  <c:v>43942</c:v>
                </c:pt>
              </c:numCache>
            </c:numRef>
          </c:val>
          <c:extLst>
            <c:ext xmlns:c16="http://schemas.microsoft.com/office/drawing/2014/chart" uri="{C3380CC4-5D6E-409C-BE32-E72D297353CC}">
              <c16:uniqueId val="{00000004-D8E3-4B3D-9641-3A2E69A10A5E}"/>
            </c:ext>
          </c:extLst>
        </c:ser>
        <c:dLbls>
          <c:showLegendKey val="0"/>
          <c:showVal val="0"/>
          <c:showCatName val="0"/>
          <c:showSerName val="0"/>
          <c:showPercent val="0"/>
          <c:showBubbleSize val="0"/>
        </c:dLbls>
        <c:gapWidth val="219"/>
        <c:overlap val="-27"/>
        <c:axId val="50276799"/>
        <c:axId val="1763794351"/>
      </c:barChart>
      <c:catAx>
        <c:axId val="5027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794351"/>
        <c:crosses val="autoZero"/>
        <c:auto val="1"/>
        <c:lblAlgn val="ctr"/>
        <c:lblOffset val="100"/>
        <c:noMultiLvlLbl val="0"/>
      </c:catAx>
      <c:valAx>
        <c:axId val="176379435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7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[Marketing_Campaign_Data.xlsx]Marketing Campaign Performance !PivotTable1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Marketing Funnel by Platform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'Marketing Campaign Performance '!$C$3</c:f>
              <c:strCache>
                <c:ptCount val="1"/>
                <c:pt idx="0">
                  <c:v>Sum of Clicks</c:v>
                </c:pt>
              </c:strCache>
            </c:strRef>
          </c:tx>
          <c:spPr>
            <a:solidFill>
              <a:schemeClr val="accent2"/>
            </a:solidFill>
            <a:ln>
              <a:noFill/>
            </a:ln>
            <a:effectLst/>
          </c:spPr>
          <c:invertIfNegative val="0"/>
          <c:cat>
            <c:strRef>
              <c:f>'Marketing Campaign Performance '!$A$4:$A$9</c:f>
              <c:strCache>
                <c:ptCount val="5"/>
                <c:pt idx="0">
                  <c:v>Facebook</c:v>
                </c:pt>
                <c:pt idx="1">
                  <c:v>Google Ads</c:v>
                </c:pt>
                <c:pt idx="2">
                  <c:v>Instagram</c:v>
                </c:pt>
                <c:pt idx="3">
                  <c:v>LinkedIn</c:v>
                </c:pt>
                <c:pt idx="4">
                  <c:v>YouTube</c:v>
                </c:pt>
              </c:strCache>
            </c:strRef>
          </c:cat>
          <c:val>
            <c:numRef>
              <c:f>'Marketing Campaign Performance '!$C$4:$C$9</c:f>
              <c:numCache>
                <c:formatCode>_(* #,##0.00_);_(* \(#,##0.00\);_(* "-"??_);_(@_)</c:formatCode>
                <c:ptCount val="5"/>
                <c:pt idx="0">
                  <c:v>1740443</c:v>
                </c:pt>
                <c:pt idx="1">
                  <c:v>1751859</c:v>
                </c:pt>
                <c:pt idx="2">
                  <c:v>1347998</c:v>
                </c:pt>
                <c:pt idx="3">
                  <c:v>1460099</c:v>
                </c:pt>
                <c:pt idx="4">
                  <c:v>838013</c:v>
                </c:pt>
              </c:numCache>
            </c:numRef>
          </c:val>
          <c:extLst>
            <c:ext xmlns:c16="http://schemas.microsoft.com/office/drawing/2014/chart" uri="{C3380CC4-5D6E-409C-BE32-E72D297353CC}">
              <c16:uniqueId val="{00000001-4D80-4736-B8BD-184E8510EFC0}"/>
            </c:ext>
          </c:extLst>
        </c:ser>
        <c:ser>
          <c:idx val="2"/>
          <c:order val="2"/>
          <c:tx>
            <c:strRef>
              <c:f>'Marketing Campaign Performance '!$D$3</c:f>
              <c:strCache>
                <c:ptCount val="1"/>
                <c:pt idx="0">
                  <c:v>Sum of Leads</c:v>
                </c:pt>
              </c:strCache>
            </c:strRef>
          </c:tx>
          <c:spPr>
            <a:solidFill>
              <a:schemeClr val="accent3"/>
            </a:solidFill>
            <a:ln>
              <a:noFill/>
            </a:ln>
            <a:effectLst/>
          </c:spPr>
          <c:invertIfNegative val="0"/>
          <c:cat>
            <c:strRef>
              <c:f>'Marketing Campaign Performance '!$A$4:$A$9</c:f>
              <c:strCache>
                <c:ptCount val="5"/>
                <c:pt idx="0">
                  <c:v>Facebook</c:v>
                </c:pt>
                <c:pt idx="1">
                  <c:v>Google Ads</c:v>
                </c:pt>
                <c:pt idx="2">
                  <c:v>Instagram</c:v>
                </c:pt>
                <c:pt idx="3">
                  <c:v>LinkedIn</c:v>
                </c:pt>
                <c:pt idx="4">
                  <c:v>YouTube</c:v>
                </c:pt>
              </c:strCache>
            </c:strRef>
          </c:cat>
          <c:val>
            <c:numRef>
              <c:f>'Marketing Campaign Performance '!$D$4:$D$9</c:f>
              <c:numCache>
                <c:formatCode>_(* #,##0.00_);_(* \(#,##0.00\);_(* "-"??_);_(@_)</c:formatCode>
                <c:ptCount val="5"/>
                <c:pt idx="0">
                  <c:v>350452</c:v>
                </c:pt>
                <c:pt idx="1">
                  <c:v>346441</c:v>
                </c:pt>
                <c:pt idx="2">
                  <c:v>270522</c:v>
                </c:pt>
                <c:pt idx="3">
                  <c:v>292161</c:v>
                </c:pt>
                <c:pt idx="4">
                  <c:v>161708</c:v>
                </c:pt>
              </c:numCache>
            </c:numRef>
          </c:val>
          <c:extLst>
            <c:ext xmlns:c16="http://schemas.microsoft.com/office/drawing/2014/chart" uri="{C3380CC4-5D6E-409C-BE32-E72D297353CC}">
              <c16:uniqueId val="{00000002-4D80-4736-B8BD-184E8510EFC0}"/>
            </c:ext>
          </c:extLst>
        </c:ser>
        <c:dLbls>
          <c:showLegendKey val="0"/>
          <c:showVal val="0"/>
          <c:showCatName val="0"/>
          <c:showSerName val="0"/>
          <c:showPercent val="0"/>
          <c:showBubbleSize val="0"/>
        </c:dLbls>
        <c:gapWidth val="219"/>
        <c:axId val="93759551"/>
        <c:axId val="43112335"/>
      </c:barChart>
      <c:barChart>
        <c:barDir val="col"/>
        <c:grouping val="clustered"/>
        <c:varyColors val="0"/>
        <c:ser>
          <c:idx val="0"/>
          <c:order val="0"/>
          <c:tx>
            <c:strRef>
              <c:f>'Marketing Campaign Performance '!$B$3</c:f>
              <c:strCache>
                <c:ptCount val="1"/>
                <c:pt idx="0">
                  <c:v>Sum of Impressions</c:v>
                </c:pt>
              </c:strCache>
            </c:strRef>
          </c:tx>
          <c:spPr>
            <a:solidFill>
              <a:schemeClr val="accent1"/>
            </a:solidFill>
            <a:ln>
              <a:noFill/>
            </a:ln>
            <a:effectLst/>
          </c:spPr>
          <c:invertIfNegative val="0"/>
          <c:cat>
            <c:strRef>
              <c:f>'Marketing Campaign Performance '!$A$4:$A$9</c:f>
              <c:strCache>
                <c:ptCount val="5"/>
                <c:pt idx="0">
                  <c:v>Facebook</c:v>
                </c:pt>
                <c:pt idx="1">
                  <c:v>Google Ads</c:v>
                </c:pt>
                <c:pt idx="2">
                  <c:v>Instagram</c:v>
                </c:pt>
                <c:pt idx="3">
                  <c:v>LinkedIn</c:v>
                </c:pt>
                <c:pt idx="4">
                  <c:v>YouTube</c:v>
                </c:pt>
              </c:strCache>
            </c:strRef>
          </c:cat>
          <c:val>
            <c:numRef>
              <c:f>'Marketing Campaign Performance '!$B$4:$B$9</c:f>
              <c:numCache>
                <c:formatCode>_(* #,##0.00_);_(* \(#,##0.00\);_(* "-"??_);_(@_)</c:formatCode>
                <c:ptCount val="5"/>
                <c:pt idx="0">
                  <c:v>31329302</c:v>
                </c:pt>
                <c:pt idx="1">
                  <c:v>31963554</c:v>
                </c:pt>
                <c:pt idx="2">
                  <c:v>24699279</c:v>
                </c:pt>
                <c:pt idx="3">
                  <c:v>26146791</c:v>
                </c:pt>
                <c:pt idx="4">
                  <c:v>15019263</c:v>
                </c:pt>
              </c:numCache>
            </c:numRef>
          </c:val>
          <c:extLst>
            <c:ext xmlns:c16="http://schemas.microsoft.com/office/drawing/2014/chart" uri="{C3380CC4-5D6E-409C-BE32-E72D297353CC}">
              <c16:uniqueId val="{00000000-4D80-4736-B8BD-184E8510EFC0}"/>
            </c:ext>
          </c:extLst>
        </c:ser>
        <c:dLbls>
          <c:showLegendKey val="0"/>
          <c:showVal val="0"/>
          <c:showCatName val="0"/>
          <c:showSerName val="0"/>
          <c:showPercent val="0"/>
          <c:showBubbleSize val="0"/>
        </c:dLbls>
        <c:gapWidth val="219"/>
        <c:axId val="93721503"/>
        <c:axId val="89145519"/>
      </c:barChart>
      <c:lineChart>
        <c:grouping val="standard"/>
        <c:varyColors val="0"/>
        <c:ser>
          <c:idx val="3"/>
          <c:order val="3"/>
          <c:tx>
            <c:strRef>
              <c:f>'Marketing Campaign Performance '!$E$3</c:f>
              <c:strCache>
                <c:ptCount val="1"/>
                <c:pt idx="0">
                  <c:v>Sum of Applications</c:v>
                </c:pt>
              </c:strCache>
            </c:strRef>
          </c:tx>
          <c:spPr>
            <a:ln w="28575" cap="rnd">
              <a:solidFill>
                <a:schemeClr val="accent4"/>
              </a:solidFill>
              <a:round/>
            </a:ln>
            <a:effectLst/>
          </c:spPr>
          <c:marker>
            <c:symbol val="none"/>
          </c:marker>
          <c:cat>
            <c:strRef>
              <c:f>'Marketing Campaign Performance '!$A$4:$A$9</c:f>
              <c:strCache>
                <c:ptCount val="5"/>
                <c:pt idx="0">
                  <c:v>Facebook</c:v>
                </c:pt>
                <c:pt idx="1">
                  <c:v>Google Ads</c:v>
                </c:pt>
                <c:pt idx="2">
                  <c:v>Instagram</c:v>
                </c:pt>
                <c:pt idx="3">
                  <c:v>LinkedIn</c:v>
                </c:pt>
                <c:pt idx="4">
                  <c:v>YouTube</c:v>
                </c:pt>
              </c:strCache>
            </c:strRef>
          </c:cat>
          <c:val>
            <c:numRef>
              <c:f>'Marketing Campaign Performance '!$E$4:$E$9</c:f>
              <c:numCache>
                <c:formatCode>_(* #,##0.00_);_(* \(#,##0.00\);_(* "-"??_);_(@_)</c:formatCode>
                <c:ptCount val="5"/>
                <c:pt idx="0">
                  <c:v>191054</c:v>
                </c:pt>
                <c:pt idx="1">
                  <c:v>190327</c:v>
                </c:pt>
                <c:pt idx="2">
                  <c:v>148302</c:v>
                </c:pt>
                <c:pt idx="3">
                  <c:v>163739</c:v>
                </c:pt>
                <c:pt idx="4">
                  <c:v>90194</c:v>
                </c:pt>
              </c:numCache>
            </c:numRef>
          </c:val>
          <c:smooth val="0"/>
          <c:extLst>
            <c:ext xmlns:c16="http://schemas.microsoft.com/office/drawing/2014/chart" uri="{C3380CC4-5D6E-409C-BE32-E72D297353CC}">
              <c16:uniqueId val="{00000003-4D80-4736-B8BD-184E8510EFC0}"/>
            </c:ext>
          </c:extLst>
        </c:ser>
        <c:ser>
          <c:idx val="4"/>
          <c:order val="4"/>
          <c:tx>
            <c:strRef>
              <c:f>'Marketing Campaign Performance '!$F$3</c:f>
              <c:strCache>
                <c:ptCount val="1"/>
                <c:pt idx="0">
                  <c:v>Sum of Enrollments</c:v>
                </c:pt>
              </c:strCache>
            </c:strRef>
          </c:tx>
          <c:spPr>
            <a:ln w="28575" cap="rnd">
              <a:solidFill>
                <a:schemeClr val="accent5"/>
              </a:solidFill>
              <a:round/>
            </a:ln>
            <a:effectLst/>
          </c:spPr>
          <c:marker>
            <c:symbol val="none"/>
          </c:marker>
          <c:cat>
            <c:strRef>
              <c:f>'Marketing Campaign Performance '!$A$4:$A$9</c:f>
              <c:strCache>
                <c:ptCount val="5"/>
                <c:pt idx="0">
                  <c:v>Facebook</c:v>
                </c:pt>
                <c:pt idx="1">
                  <c:v>Google Ads</c:v>
                </c:pt>
                <c:pt idx="2">
                  <c:v>Instagram</c:v>
                </c:pt>
                <c:pt idx="3">
                  <c:v>LinkedIn</c:v>
                </c:pt>
                <c:pt idx="4">
                  <c:v>YouTube</c:v>
                </c:pt>
              </c:strCache>
            </c:strRef>
          </c:cat>
          <c:val>
            <c:numRef>
              <c:f>'Marketing Campaign Performance '!$F$4:$F$9</c:f>
              <c:numCache>
                <c:formatCode>_(* #,##0.00_);_(* \(#,##0.00\);_(* "-"??_);_(@_)</c:formatCode>
                <c:ptCount val="5"/>
                <c:pt idx="0">
                  <c:v>94199</c:v>
                </c:pt>
                <c:pt idx="1">
                  <c:v>95402</c:v>
                </c:pt>
                <c:pt idx="2">
                  <c:v>75249</c:v>
                </c:pt>
                <c:pt idx="3">
                  <c:v>83522</c:v>
                </c:pt>
                <c:pt idx="4">
                  <c:v>43942</c:v>
                </c:pt>
              </c:numCache>
            </c:numRef>
          </c:val>
          <c:smooth val="0"/>
          <c:extLst>
            <c:ext xmlns:c16="http://schemas.microsoft.com/office/drawing/2014/chart" uri="{C3380CC4-5D6E-409C-BE32-E72D297353CC}">
              <c16:uniqueId val="{00000004-4D80-4736-B8BD-184E8510EFC0}"/>
            </c:ext>
          </c:extLst>
        </c:ser>
        <c:dLbls>
          <c:showLegendKey val="0"/>
          <c:showVal val="0"/>
          <c:showCatName val="0"/>
          <c:showSerName val="0"/>
          <c:showPercent val="0"/>
          <c:showBubbleSize val="0"/>
        </c:dLbls>
        <c:marker val="1"/>
        <c:smooth val="0"/>
        <c:axId val="93759551"/>
        <c:axId val="43112335"/>
      </c:lineChart>
      <c:catAx>
        <c:axId val="9375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2335"/>
        <c:crosses val="autoZero"/>
        <c:auto val="1"/>
        <c:lblAlgn val="ctr"/>
        <c:lblOffset val="100"/>
        <c:noMultiLvlLbl val="0"/>
      </c:catAx>
      <c:valAx>
        <c:axId val="4311233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59551"/>
        <c:crosses val="autoZero"/>
        <c:crossBetween val="between"/>
      </c:valAx>
      <c:valAx>
        <c:axId val="89145519"/>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21503"/>
        <c:crosses val="max"/>
        <c:crossBetween val="between"/>
      </c:valAx>
      <c:catAx>
        <c:axId val="93721503"/>
        <c:scaling>
          <c:orientation val="minMax"/>
        </c:scaling>
        <c:delete val="1"/>
        <c:axPos val="b"/>
        <c:numFmt formatCode="General" sourceLinked="1"/>
        <c:majorTickMark val="out"/>
        <c:minorTickMark val="none"/>
        <c:tickLblPos val="nextTo"/>
        <c:crossAx val="89145519"/>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ROI by Marketing Platform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Roi_Analysis!$B$1</c:f>
              <c:strCache>
                <c:ptCount val="1"/>
                <c:pt idx="0">
                  <c:v>ROI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Roi_Analysis!$A$2:$A$6</c:f>
              <c:strCache>
                <c:ptCount val="5"/>
                <c:pt idx="0">
                  <c:v>Facebook</c:v>
                </c:pt>
                <c:pt idx="1">
                  <c:v>Google Ads</c:v>
                </c:pt>
                <c:pt idx="2">
                  <c:v>Instagram</c:v>
                </c:pt>
                <c:pt idx="3">
                  <c:v>LinkedIn</c:v>
                </c:pt>
                <c:pt idx="4">
                  <c:v>YouTube</c:v>
                </c:pt>
              </c:strCache>
            </c:strRef>
          </c:cat>
          <c:val>
            <c:numRef>
              <c:f>Roi_Analysis!$B$2:$B$6</c:f>
              <c:numCache>
                <c:formatCode>0.00</c:formatCode>
                <c:ptCount val="5"/>
                <c:pt idx="0">
                  <c:v>2245.7814040696162</c:v>
                </c:pt>
                <c:pt idx="1">
                  <c:v>2197.1404931517154</c:v>
                </c:pt>
                <c:pt idx="2">
                  <c:v>2300.7736449112122</c:v>
                </c:pt>
                <c:pt idx="3">
                  <c:v>2444.5563987942041</c:v>
                </c:pt>
                <c:pt idx="4">
                  <c:v>2112.5745655994569</c:v>
                </c:pt>
              </c:numCache>
            </c:numRef>
          </c:val>
          <c:extLst>
            <c:ext xmlns:c16="http://schemas.microsoft.com/office/drawing/2014/chart" uri="{C3380CC4-5D6E-409C-BE32-E72D297353CC}">
              <c16:uniqueId val="{00000000-1B60-470A-AA56-F4C286B78094}"/>
            </c:ext>
          </c:extLst>
        </c:ser>
        <c:dLbls>
          <c:dLblPos val="outEnd"/>
          <c:showLegendKey val="0"/>
          <c:showVal val="1"/>
          <c:showCatName val="0"/>
          <c:showSerName val="0"/>
          <c:showPercent val="0"/>
          <c:showBubbleSize val="0"/>
        </c:dLbls>
        <c:gapWidth val="219"/>
        <c:overlap val="-27"/>
        <c:axId val="50267519"/>
        <c:axId val="89137839"/>
      </c:barChart>
      <c:catAx>
        <c:axId val="502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7839"/>
        <c:crosses val="autoZero"/>
        <c:auto val="1"/>
        <c:lblAlgn val="ctr"/>
        <c:lblOffset val="100"/>
        <c:noMultiLvlLbl val="0"/>
      </c:catAx>
      <c:valAx>
        <c:axId val="89137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ROI by Marketing Platform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Roi_Analysis!$B$1</c:f>
              <c:strCache>
                <c:ptCount val="1"/>
                <c:pt idx="0">
                  <c:v>ROI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Roi_Analysis!$A$2:$A$6</c:f>
              <c:strCache>
                <c:ptCount val="5"/>
                <c:pt idx="0">
                  <c:v>Facebook</c:v>
                </c:pt>
                <c:pt idx="1">
                  <c:v>Google Ads</c:v>
                </c:pt>
                <c:pt idx="2">
                  <c:v>Instagram</c:v>
                </c:pt>
                <c:pt idx="3">
                  <c:v>LinkedIn</c:v>
                </c:pt>
                <c:pt idx="4">
                  <c:v>YouTube</c:v>
                </c:pt>
              </c:strCache>
            </c:strRef>
          </c:cat>
          <c:val>
            <c:numRef>
              <c:f>Roi_Analysis!$B$2:$B$6</c:f>
              <c:numCache>
                <c:formatCode>0.00</c:formatCode>
                <c:ptCount val="5"/>
                <c:pt idx="0">
                  <c:v>2245.7814040696162</c:v>
                </c:pt>
                <c:pt idx="1">
                  <c:v>2197.1404931517154</c:v>
                </c:pt>
                <c:pt idx="2">
                  <c:v>2300.7736449112122</c:v>
                </c:pt>
                <c:pt idx="3">
                  <c:v>2444.5563987942041</c:v>
                </c:pt>
                <c:pt idx="4">
                  <c:v>2112.5745655994569</c:v>
                </c:pt>
              </c:numCache>
            </c:numRef>
          </c:val>
          <c:extLst>
            <c:ext xmlns:c16="http://schemas.microsoft.com/office/drawing/2014/chart" uri="{C3380CC4-5D6E-409C-BE32-E72D297353CC}">
              <c16:uniqueId val="{00000000-305C-4138-9253-4C9A59427356}"/>
            </c:ext>
          </c:extLst>
        </c:ser>
        <c:dLbls>
          <c:dLblPos val="outEnd"/>
          <c:showLegendKey val="0"/>
          <c:showVal val="1"/>
          <c:showCatName val="0"/>
          <c:showSerName val="0"/>
          <c:showPercent val="0"/>
          <c:showBubbleSize val="0"/>
        </c:dLbls>
        <c:gapWidth val="219"/>
        <c:overlap val="-27"/>
        <c:axId val="50267519"/>
        <c:axId val="89137839"/>
      </c:barChart>
      <c:catAx>
        <c:axId val="502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7839"/>
        <c:crosses val="autoZero"/>
        <c:auto val="1"/>
        <c:lblAlgn val="ctr"/>
        <c:lblOffset val="100"/>
        <c:noMultiLvlLbl val="0"/>
      </c:catAx>
      <c:valAx>
        <c:axId val="89137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815340</xdr:colOff>
      <xdr:row>10</xdr:row>
      <xdr:rowOff>64770</xdr:rowOff>
    </xdr:from>
    <xdr:to>
      <xdr:col>5</xdr:col>
      <xdr:colOff>411480</xdr:colOff>
      <xdr:row>25</xdr:row>
      <xdr:rowOff>64770</xdr:rowOff>
    </xdr:to>
    <xdr:graphicFrame macro="">
      <xdr:nvGraphicFramePr>
        <xdr:cNvPr id="5" name="Chart 4">
          <a:extLst>
            <a:ext uri="{FF2B5EF4-FFF2-40B4-BE49-F238E27FC236}">
              <a16:creationId xmlns:a16="http://schemas.microsoft.com/office/drawing/2014/main" id="{8BD7BB87-C48F-0FB9-F97A-77EDC2C08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1128152</xdr:colOff>
      <xdr:row>10</xdr:row>
      <xdr:rowOff>96423</xdr:rowOff>
    </xdr:from>
    <xdr:to>
      <xdr:col>11</xdr:col>
      <xdr:colOff>293273</xdr:colOff>
      <xdr:row>25</xdr:row>
      <xdr:rowOff>96422</xdr:rowOff>
    </xdr:to>
    <xdr:graphicFrame macro="">
      <xdr:nvGraphicFramePr>
        <xdr:cNvPr id="7" name="Chart 6">
          <a:extLst>
            <a:ext uri="{FF2B5EF4-FFF2-40B4-BE49-F238E27FC236}">
              <a16:creationId xmlns:a16="http://schemas.microsoft.com/office/drawing/2014/main" id="{6CFE0D68-8F4E-DFB1-4C08-EB2B37B3D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127000</xdr:colOff>
      <xdr:row>10</xdr:row>
      <xdr:rowOff>136770</xdr:rowOff>
    </xdr:from>
    <xdr:to>
      <xdr:col>16</xdr:col>
      <xdr:colOff>185615</xdr:colOff>
      <xdr:row>25</xdr:row>
      <xdr:rowOff>95739</xdr:rowOff>
    </xdr:to>
    <xdr:graphicFrame macro="">
      <xdr:nvGraphicFramePr>
        <xdr:cNvPr id="10" name="Chart 9">
          <a:extLst>
            <a:ext uri="{FF2B5EF4-FFF2-40B4-BE49-F238E27FC236}">
              <a16:creationId xmlns:a16="http://schemas.microsoft.com/office/drawing/2014/main" id="{F747AF45-C31A-4F0F-88F9-FED28242C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3" name="Chart 2">
          <a:extLst>
            <a:ext uri="{FF2B5EF4-FFF2-40B4-BE49-F238E27FC236}">
              <a16:creationId xmlns:a16="http://schemas.microsoft.com/office/drawing/2014/main" id="{840B0B8B-D506-7A47-5594-19EDA4079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mta Kumari Jaiswal" refreshedDate="46309.972574305553" createdVersion="8" refreshedVersion="8" minRefreshableVersion="3" recordCount="763" xr:uid="{6D73EEAF-01FB-4922-B221-CAA3589D14CC}">
  <cacheSource type="worksheet">
    <worksheetSource ref="A1:U764" sheet="CampaignPerformance"/>
  </cacheSource>
  <cacheFields count="21">
    <cacheField name="Date" numFmtId="164">
      <sharedItems containsSemiMixedTypes="0" containsNonDate="0" containsDate="1" containsString="0" minDate="2024-01-01T00:00:00" maxDate="2025-11-01T00:00:00"/>
    </cacheField>
    <cacheField name="CampaignID" numFmtId="0">
      <sharedItems/>
    </cacheField>
    <cacheField name="CampaignName" numFmtId="0">
      <sharedItems/>
    </cacheField>
    <cacheField name="Platform" numFmtId="0">
      <sharedItems count="5">
        <s v="YouTube"/>
        <s v="Google Ads"/>
        <s v="Instagram"/>
        <s v="LinkedIn"/>
        <s v="Facebook"/>
      </sharedItems>
    </cacheField>
    <cacheField name="TargetAudience" numFmtId="0">
      <sharedItems/>
    </cacheField>
    <cacheField name="Impressions" numFmtId="0">
      <sharedItems containsSemiMixedTypes="0" containsString="0" containsNumber="1" containsInteger="1" minValue="50267" maxValue="299910"/>
    </cacheField>
    <cacheField name="Clicks" numFmtId="0">
      <sharedItems containsSemiMixedTypes="0" containsString="0" containsNumber="1" containsInteger="1" minValue="1674" maxValue="23654"/>
    </cacheField>
    <cacheField name="Leads" numFmtId="0">
      <sharedItems containsSemiMixedTypes="0" containsString="0" containsNumber="1" containsInteger="1" minValue="327" maxValue="5219"/>
    </cacheField>
    <cacheField name="Applications" numFmtId="0">
      <sharedItems containsSemiMixedTypes="0" containsString="0" containsNumber="1" containsInteger="1" minValue="159" maxValue="3112"/>
    </cacheField>
    <cacheField name="Enrollments" numFmtId="0">
      <sharedItems containsSemiMixedTypes="0" containsString="0" containsNumber="1" containsInteger="1" minValue="73" maxValue="1664"/>
    </cacheField>
    <cacheField name="Cost (₹)" numFmtId="165">
      <sharedItems containsSemiMixedTypes="0" containsString="0" containsNumber="1" minValue="22689.88" maxValue="288391.33"/>
    </cacheField>
    <cacheField name="Revenue (₹)" numFmtId="165">
      <sharedItems containsSemiMixedTypes="0" containsString="0" containsNumber="1" minValue="364638.44" maxValue="11577295.93"/>
    </cacheField>
    <cacheField name="Region" numFmtId="0">
      <sharedItems/>
    </cacheField>
    <cacheField name="Duplicate_Check" numFmtId="0">
      <sharedItems containsSemiMixedTypes="0" containsString="0" containsNumber="1" containsInteger="1" minValue="1" maxValue="1"/>
    </cacheField>
    <cacheField name="Funnel_Check" numFmtId="0">
      <sharedItems/>
    </cacheField>
    <cacheField name="CTR (%)" numFmtId="2">
      <sharedItems containsSemiMixedTypes="0" containsString="0" containsNumber="1" minValue="3.0010523802364757" maxValue="7.9946627427017996"/>
    </cacheField>
    <cacheField name="Click_to_Lead_Rate (%)" numFmtId="2">
      <sharedItems containsSemiMixedTypes="0" containsString="0" containsNumber="1" minValue="15.054070792244294" maxValue="24.994573475146517"/>
    </cacheField>
    <cacheField name="Lead_to_Application_Rate (%)" numFmtId="2">
      <sharedItems containsSemiMixedTypes="0" containsString="0" containsNumber="1" minValue="44.949494949494948" maxValue="64.889918887601397"/>
    </cacheField>
    <cacheField name="Application_to_Enrollment_Rate (%)" numFmtId="2">
      <sharedItems containsSemiMixedTypes="0" containsString="0" containsNumber="1" minValue="39.879759519038075" maxValue="59.95850622406639"/>
    </cacheField>
    <cacheField name="ROI (%)" numFmtId="2">
      <sharedItems containsSemiMixedTypes="0" containsString="0" containsNumber="1" minValue="408.7166476018437" maxValue="9039.062890631043"/>
    </cacheField>
    <cacheField name="ROAS" numFmtId="2">
      <sharedItems containsSemiMixedTypes="0" containsString="0" containsNumber="1" minValue="5.087166476018437" maxValue="91.3906289063104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3">
  <r>
    <d v="2024-01-01T00:00:00"/>
    <s v="AD004"/>
    <s v="Hackathon"/>
    <x v="0"/>
    <s v="17–21 Age"/>
    <n v="285708"/>
    <n v="16956"/>
    <n v="4087"/>
    <n v="2547"/>
    <n v="1148"/>
    <n v="275457.87"/>
    <n v="4615838.04"/>
    <s v="West India"/>
    <n v="1"/>
    <s v="OK"/>
    <n v="5.9347305640724093"/>
    <n v="24.103562160887002"/>
    <n v="62.319549792023487"/>
    <n v="45.072634471927756"/>
    <n v="1575.6965557019664"/>
    <n v="16.756965557019665"/>
  </r>
  <r>
    <d v="2024-01-02T00:00:00"/>
    <s v="AD004"/>
    <s v="Hackathon"/>
    <x v="0"/>
    <s v="17–21 Age"/>
    <n v="140449"/>
    <n v="10082"/>
    <n v="1815"/>
    <n v="951"/>
    <n v="565"/>
    <n v="133025.85999999999"/>
    <n v="3513169.9"/>
    <s v="North India"/>
    <n v="1"/>
    <s v="OK"/>
    <n v="7.1784063966279579"/>
    <n v="18.002380480063479"/>
    <n v="52.396694214876035"/>
    <n v="59.411146161934802"/>
    <n v="2540.9676283994709"/>
    <n v="26.40967628399471"/>
  </r>
  <r>
    <d v="2024-01-03T00:00:00"/>
    <s v="AD004"/>
    <s v="Hackathon"/>
    <x v="0"/>
    <s v="17–21 Age"/>
    <n v="140958"/>
    <n v="7474"/>
    <n v="1169"/>
    <n v="683"/>
    <n v="343"/>
    <n v="135765.60999999999"/>
    <n v="1051924.8799999999"/>
    <s v="North India"/>
    <n v="1"/>
    <s v="OK"/>
    <n v="5.3022886249804904"/>
    <n v="15.640888413165641"/>
    <n v="58.42600513259196"/>
    <n v="50.219619326500734"/>
    <n v="674.80952650674931"/>
    <n v="7.7480952650674935"/>
  </r>
  <r>
    <d v="2024-01-04T00:00:00"/>
    <s v="AD004"/>
    <s v="Hackathon"/>
    <x v="0"/>
    <s v="22–27 Age"/>
    <n v="257823"/>
    <n v="16841"/>
    <n v="3179"/>
    <n v="1584"/>
    <n v="698"/>
    <n v="229715.44"/>
    <n v="3850639.56"/>
    <s v="West India"/>
    <n v="1"/>
    <s v="OK"/>
    <n v="6.5320006360953062"/>
    <n v="18.876551273677336"/>
    <n v="49.826989619377159"/>
    <n v="44.06565656565656"/>
    <n v="1576.2650172752863"/>
    <n v="16.762650172752863"/>
  </r>
  <r>
    <d v="2024-01-05T00:00:00"/>
    <s v="AD004"/>
    <s v="Hackathon"/>
    <x v="0"/>
    <s v="25–35 Age"/>
    <n v="98595"/>
    <n v="7293"/>
    <n v="1340"/>
    <n v="854"/>
    <n v="368"/>
    <n v="52360.959999999999"/>
    <n v="1543262.86"/>
    <s v="West India"/>
    <n v="1"/>
    <s v="OK"/>
    <n v="7.3969268218469502"/>
    <n v="18.373783079665433"/>
    <n v="63.731343283582085"/>
    <n v="43.091334894613581"/>
    <n v="2847.3540210110741"/>
    <n v="29.473540210110741"/>
  </r>
  <r>
    <d v="2024-01-06T00:00:00"/>
    <s v="AD004"/>
    <s v="Hackathon"/>
    <x v="0"/>
    <s v="22–27 Age"/>
    <n v="68114"/>
    <n v="5377"/>
    <n v="909"/>
    <n v="505"/>
    <n v="222"/>
    <n v="27454.35"/>
    <n v="1717163.91"/>
    <s v="North India"/>
    <n v="1"/>
    <s v="OK"/>
    <n v="7.8941186833837387"/>
    <n v="16.905337548819045"/>
    <n v="55.555555555555557"/>
    <n v="43.960396039603964"/>
    <n v="6154.6150610012619"/>
    <n v="62.546150610012624"/>
  </r>
  <r>
    <d v="2024-01-07T00:00:00"/>
    <s v="AD004"/>
    <s v="Hackathon"/>
    <x v="0"/>
    <s v="17–21 Age"/>
    <n v="175572"/>
    <n v="6855"/>
    <n v="1452"/>
    <n v="757"/>
    <n v="346"/>
    <n v="95497.97"/>
    <n v="2598807.52"/>
    <s v="East India"/>
    <n v="1"/>
    <s v="OK"/>
    <n v="3.9043811086050164"/>
    <n v="21.181619256017505"/>
    <n v="52.134986225895318"/>
    <n v="45.706737120211358"/>
    <n v="2621.3222647559942"/>
    <n v="27.213222647559942"/>
  </r>
  <r>
    <d v="2024-01-08T00:00:00"/>
    <s v="AD004"/>
    <s v="Hackathon"/>
    <x v="0"/>
    <s v="22–27 Age"/>
    <n v="231966"/>
    <n v="9373"/>
    <n v="1934"/>
    <n v="1247"/>
    <n v="553"/>
    <n v="175649"/>
    <n v="2558956.35"/>
    <s v="West India"/>
    <n v="1"/>
    <s v="OK"/>
    <n v="4.0406783752791355"/>
    <n v="20.633735196841993"/>
    <n v="64.477766287487071"/>
    <n v="44.346431435445069"/>
    <n v="1356.8579098087664"/>
    <n v="14.568579098087664"/>
  </r>
  <r>
    <d v="2024-01-09T00:00:00"/>
    <s v="AD004"/>
    <s v="Hackathon"/>
    <x v="0"/>
    <s v="17–21 Age"/>
    <n v="281339"/>
    <n v="12310"/>
    <n v="2329"/>
    <n v="1319"/>
    <n v="734"/>
    <n v="126723.85"/>
    <n v="4265725.03"/>
    <s v="West India"/>
    <n v="1"/>
    <s v="OK"/>
    <n v="4.3755042848663006"/>
    <n v="18.919577579203899"/>
    <n v="56.633748389866902"/>
    <n v="55.648218347232749"/>
    <n v="3266.1580120869116"/>
    <n v="33.661580120869118"/>
  </r>
  <r>
    <d v="2024-01-10T00:00:00"/>
    <s v="AD004"/>
    <s v="Hackathon"/>
    <x v="0"/>
    <s v="22–27 Age"/>
    <n v="98805"/>
    <n v="6952"/>
    <n v="1479"/>
    <n v="955"/>
    <n v="455"/>
    <n v="49446.12"/>
    <n v="3012430.04"/>
    <s v="North India"/>
    <n v="1"/>
    <s v="OK"/>
    <n v="7.0360811699812755"/>
    <n v="21.274453394706562"/>
    <n v="64.570655848546309"/>
    <n v="47.643979057591622"/>
    <n v="5992.348681757031"/>
    <n v="60.923486817570314"/>
  </r>
  <r>
    <d v="2024-01-11T00:00:00"/>
    <s v="AD004"/>
    <s v="Hackathon"/>
    <x v="0"/>
    <s v="25–35 Age"/>
    <n v="144093"/>
    <n v="11451"/>
    <n v="1776"/>
    <n v="934"/>
    <n v="480"/>
    <n v="104177.45"/>
    <n v="1723113.84"/>
    <s v="North India"/>
    <n v="1"/>
    <s v="OK"/>
    <n v="7.9469509275259727"/>
    <n v="15.509562483625885"/>
    <n v="52.590090090090094"/>
    <n v="51.391862955032117"/>
    <n v="1554.0180624501752"/>
    <n v="16.540180624501751"/>
  </r>
  <r>
    <d v="2024-01-12T00:00:00"/>
    <s v="AD004"/>
    <s v="Hackathon"/>
    <x v="0"/>
    <s v="25–35 Age"/>
    <n v="158894"/>
    <n v="6588"/>
    <n v="1470"/>
    <n v="867"/>
    <n v="405"/>
    <n v="102314.09"/>
    <n v="3080880.49"/>
    <s v="Pan India"/>
    <n v="1"/>
    <s v="OK"/>
    <n v="4.1461603333039641"/>
    <n v="22.313296903460838"/>
    <n v="58.979591836734691"/>
    <n v="46.712802768166092"/>
    <n v="2911.1986433149145"/>
    <n v="30.111986433149141"/>
  </r>
  <r>
    <d v="2024-01-13T00:00:00"/>
    <s v="AD004"/>
    <s v="Hackathon"/>
    <x v="0"/>
    <s v="25–35 Age"/>
    <n v="66250"/>
    <n v="4921"/>
    <n v="871"/>
    <n v="392"/>
    <n v="210"/>
    <n v="51283.71"/>
    <n v="1495426.01"/>
    <s v="North India"/>
    <n v="1"/>
    <s v="OK"/>
    <n v="7.4279245283018867"/>
    <n v="17.699654541759806"/>
    <n v="45.005740528128591"/>
    <n v="53.571428571428569"/>
    <n v="2815.9864019198299"/>
    <n v="29.159864019198299"/>
  </r>
  <r>
    <d v="2024-01-14T00:00:00"/>
    <s v="AD004"/>
    <s v="Hackathon"/>
    <x v="0"/>
    <s v="25–35 Age"/>
    <n v="146445"/>
    <n v="6570"/>
    <n v="1466"/>
    <n v="803"/>
    <n v="436"/>
    <n v="60478.27"/>
    <n v="2107164.39"/>
    <s v="West India"/>
    <n v="1"/>
    <s v="OK"/>
    <n v="4.4863259244084812"/>
    <n v="22.313546423135463"/>
    <n v="54.774897680763978"/>
    <n v="54.296388542963882"/>
    <n v="3384.1677680264338"/>
    <n v="34.84167768026434"/>
  </r>
  <r>
    <d v="2024-01-15T00:00:00"/>
    <s v="AD004"/>
    <s v="Hackathon"/>
    <x v="0"/>
    <s v="22–27 Age"/>
    <n v="95097"/>
    <n v="7359"/>
    <n v="1754"/>
    <n v="1030"/>
    <n v="512"/>
    <n v="47007.7"/>
    <n v="2174797.75"/>
    <s v="South India"/>
    <n v="1"/>
    <s v="OK"/>
    <n v="7.7384144610240071"/>
    <n v="23.834760157630114"/>
    <n v="58.722919042189282"/>
    <n v="49.708737864077669"/>
    <n v="4526.4713015101779"/>
    <n v="46.264713015101783"/>
  </r>
  <r>
    <d v="2024-01-16T00:00:00"/>
    <s v="AD004"/>
    <s v="Hackathon"/>
    <x v="0"/>
    <s v="17–21 Age"/>
    <n v="234993"/>
    <n v="13461"/>
    <n v="2316"/>
    <n v="1322"/>
    <n v="778"/>
    <n v="118803.89"/>
    <n v="3598637.63"/>
    <s v="South India"/>
    <n v="1"/>
    <s v="OK"/>
    <n v="5.7282557352772212"/>
    <n v="17.205259638956989"/>
    <n v="57.081174438687384"/>
    <n v="58.850226928895609"/>
    <n v="2929.0570704376764"/>
    <n v="30.290570704376766"/>
  </r>
  <r>
    <d v="2024-01-17T00:00:00"/>
    <s v="AD004"/>
    <s v="Hackathon"/>
    <x v="0"/>
    <s v="25–35 Age"/>
    <n v="72601"/>
    <n v="4823"/>
    <n v="859"/>
    <n v="471"/>
    <n v="224"/>
    <n v="65231.88"/>
    <n v="1540858.24"/>
    <s v="West India"/>
    <n v="1"/>
    <s v="OK"/>
    <n v="6.6431591851351905"/>
    <n v="17.810491395397055"/>
    <n v="54.831199068684519"/>
    <n v="47.5583864118896"/>
    <n v="2262.1245317473604"/>
    <n v="23.621245317473605"/>
  </r>
  <r>
    <d v="2024-01-18T00:00:00"/>
    <s v="AD004"/>
    <s v="Hackathon"/>
    <x v="0"/>
    <s v="17–21 Age"/>
    <n v="64854"/>
    <n v="3268"/>
    <n v="774"/>
    <n v="379"/>
    <n v="187"/>
    <n v="29837.69"/>
    <n v="1134934.72"/>
    <s v="South India"/>
    <n v="1"/>
    <s v="OK"/>
    <n v="5.0390107009590777"/>
    <n v="23.684210526315788"/>
    <n v="48.966408268733851"/>
    <n v="49.340369393139845"/>
    <n v="3703.6949911336974"/>
    <n v="38.036949911336968"/>
  </r>
  <r>
    <d v="2024-01-19T00:00:00"/>
    <s v="AD004"/>
    <s v="Hackathon"/>
    <x v="0"/>
    <s v="25–35 Age"/>
    <n v="140767"/>
    <n v="7435"/>
    <n v="1316"/>
    <n v="748"/>
    <n v="419"/>
    <n v="134777.68"/>
    <n v="2166219.39"/>
    <s v="Pan India"/>
    <n v="1"/>
    <s v="OK"/>
    <n v="5.2817776893732198"/>
    <n v="17.700067249495628"/>
    <n v="56.838905775075986"/>
    <n v="56.016042780748663"/>
    <n v="1507.2538049326863"/>
    <n v="16.072538049326862"/>
  </r>
  <r>
    <d v="2024-01-20T00:00:00"/>
    <s v="AD004"/>
    <s v="Hackathon"/>
    <x v="0"/>
    <s v="22–27 Age"/>
    <n v="102564"/>
    <n v="4036"/>
    <n v="954"/>
    <n v="619"/>
    <n v="352"/>
    <n v="51435.05"/>
    <n v="2739137.65"/>
    <s v="West India"/>
    <n v="1"/>
    <s v="OK"/>
    <n v="3.935103935103935"/>
    <n v="23.637264618434092"/>
    <n v="64.8846960167715"/>
    <n v="56.865912762520196"/>
    <n v="5225.4301298433656"/>
    <n v="53.254301298433653"/>
  </r>
  <r>
    <d v="2024-01-21T00:00:00"/>
    <s v="AD004"/>
    <s v="Hackathon"/>
    <x v="0"/>
    <s v="25–35 Age"/>
    <n v="99366"/>
    <n v="6149"/>
    <n v="1025"/>
    <n v="585"/>
    <n v="331"/>
    <n v="39928.53"/>
    <n v="2041493.6"/>
    <s v="East India"/>
    <n v="1"/>
    <s v="OK"/>
    <n v="6.1882333997544432"/>
    <n v="16.669377134493413"/>
    <n v="57.073170731707314"/>
    <n v="56.581196581196579"/>
    <n v="5012.8694194351756"/>
    <n v="51.128694194351759"/>
  </r>
  <r>
    <d v="2024-01-22T00:00:00"/>
    <s v="AD004"/>
    <s v="Hackathon"/>
    <x v="0"/>
    <s v="17–21 Age"/>
    <n v="130732"/>
    <n v="9877"/>
    <n v="1815"/>
    <n v="1127"/>
    <n v="550"/>
    <n v="65158.43"/>
    <n v="2707316.61"/>
    <s v="Pan India"/>
    <n v="1"/>
    <s v="OK"/>
    <n v="7.5551509959306067"/>
    <n v="18.376025108838718"/>
    <n v="62.093663911845731"/>
    <n v="48.802129547471161"/>
    <n v="4054.9752042828532"/>
    <n v="41.54975204282853"/>
  </r>
  <r>
    <d v="2024-01-23T00:00:00"/>
    <s v="AD004"/>
    <s v="Hackathon"/>
    <x v="0"/>
    <s v="22–27 Age"/>
    <n v="60282"/>
    <n v="3890"/>
    <n v="823"/>
    <n v="440"/>
    <n v="184"/>
    <n v="50617.5"/>
    <n v="1332250.53"/>
    <s v="East India"/>
    <n v="1"/>
    <s v="OK"/>
    <n v="6.4530042135297432"/>
    <n v="21.156812339331619"/>
    <n v="53.462940461725395"/>
    <n v="41.818181818181813"/>
    <n v="2531.9959105052599"/>
    <n v="26.3199591050526"/>
  </r>
  <r>
    <d v="2024-01-24T00:00:00"/>
    <s v="AD004"/>
    <s v="Hackathon"/>
    <x v="0"/>
    <s v="22–27 Age"/>
    <n v="227987"/>
    <n v="9955"/>
    <n v="2151"/>
    <n v="1233"/>
    <n v="739"/>
    <n v="116682"/>
    <n v="4318918.7"/>
    <s v="North India"/>
    <n v="1"/>
    <s v="OK"/>
    <n v="4.3664770359713492"/>
    <n v="21.607232546459066"/>
    <n v="57.322175732217573"/>
    <n v="59.935117599351173"/>
    <n v="3601.4438388097565"/>
    <n v="37.014438388097567"/>
  </r>
  <r>
    <d v="2024-01-25T00:00:00"/>
    <s v="AD004"/>
    <s v="Hackathon"/>
    <x v="0"/>
    <s v="22–27 Age"/>
    <n v="272168"/>
    <n v="16989"/>
    <n v="3561"/>
    <n v="1864"/>
    <n v="959"/>
    <n v="166206.38"/>
    <n v="4449882.8899999997"/>
    <s v="West India"/>
    <n v="1"/>
    <s v="OK"/>
    <n v="6.2421004673583962"/>
    <n v="20.960621578668551"/>
    <n v="52.344846953103065"/>
    <n v="51.44849785407726"/>
    <n v="2577.323752553903"/>
    <n v="26.773237525539027"/>
  </r>
  <r>
    <d v="2024-01-26T00:00:00"/>
    <s v="AD004"/>
    <s v="Hackathon"/>
    <x v="0"/>
    <s v="17–21 Age"/>
    <n v="264817"/>
    <n v="10684"/>
    <n v="1820"/>
    <n v="1080"/>
    <n v="558"/>
    <n v="178964.33"/>
    <n v="2959111.96"/>
    <s v="North India"/>
    <n v="1"/>
    <s v="OK"/>
    <n v="4.0344841909696134"/>
    <n v="17.034818420067392"/>
    <n v="59.340659340659343"/>
    <n v="51.666666666666671"/>
    <n v="1553.4646652771532"/>
    <n v="16.534646652771535"/>
  </r>
  <r>
    <d v="2024-01-27T00:00:00"/>
    <s v="AD004"/>
    <s v="Hackathon"/>
    <x v="0"/>
    <s v="22–27 Age"/>
    <n v="296970"/>
    <n v="16468"/>
    <n v="3817"/>
    <n v="2120"/>
    <n v="1220"/>
    <n v="288391.33"/>
    <n v="6571498.9500000002"/>
    <s v="Pan India"/>
    <n v="1"/>
    <s v="OK"/>
    <n v="5.5453412802640001"/>
    <n v="23.178285159096429"/>
    <n v="55.541000785957564"/>
    <n v="57.547169811320757"/>
    <n v="2178.6742410044017"/>
    <n v="22.786742410044017"/>
  </r>
  <r>
    <d v="2024-01-28T00:00:00"/>
    <s v="AD004"/>
    <s v="Hackathon"/>
    <x v="0"/>
    <s v="25–35 Age"/>
    <n v="280154"/>
    <n v="13508"/>
    <n v="2070"/>
    <n v="1200"/>
    <n v="490"/>
    <n v="258351.31"/>
    <n v="2606824.7599999998"/>
    <s v="West India"/>
    <n v="1"/>
    <s v="OK"/>
    <n v="4.8216338156870862"/>
    <n v="15.324252294936333"/>
    <n v="57.971014492753625"/>
    <n v="40.833333333333336"/>
    <n v="909.0232404859878"/>
    <n v="10.090232404859877"/>
  </r>
  <r>
    <d v="2024-01-29T00:00:00"/>
    <s v="AD004"/>
    <s v="Hackathon"/>
    <x v="0"/>
    <s v="17–21 Age"/>
    <n v="246082"/>
    <n v="9319"/>
    <n v="1989"/>
    <n v="960"/>
    <n v="442"/>
    <n v="195337.39"/>
    <n v="2170310.94"/>
    <s v="East India"/>
    <n v="1"/>
    <s v="OK"/>
    <n v="3.7869490657585687"/>
    <n v="21.343491790964698"/>
    <n v="48.265460030165912"/>
    <n v="46.041666666666664"/>
    <n v="1011.057611653355"/>
    <n v="11.110576116533551"/>
  </r>
  <r>
    <d v="2024-01-30T00:00:00"/>
    <s v="AD004"/>
    <s v="Hackathon"/>
    <x v="0"/>
    <s v="25–35 Age"/>
    <n v="162479"/>
    <n v="9378"/>
    <n v="2210"/>
    <n v="1154"/>
    <n v="604"/>
    <n v="157517.73000000001"/>
    <n v="4429720.09"/>
    <s v="Pan India"/>
    <n v="1"/>
    <s v="OK"/>
    <n v="5.7718228201798389"/>
    <n v="23.565792279803794"/>
    <n v="52.217194570135753"/>
    <n v="52.339688041594457"/>
    <n v="2712.2041182284679"/>
    <n v="28.122041182284683"/>
  </r>
  <r>
    <d v="2024-01-31T00:00:00"/>
    <s v="AD004"/>
    <s v="Hackathon"/>
    <x v="0"/>
    <s v="22–27 Age"/>
    <n v="256182"/>
    <n v="17232"/>
    <n v="3397"/>
    <n v="1850"/>
    <n v="871"/>
    <n v="212839.26"/>
    <n v="3579677.63"/>
    <s v="South India"/>
    <n v="1"/>
    <s v="OK"/>
    <n v="6.7264679017261173"/>
    <n v="19.713324048282267"/>
    <n v="54.459817486017073"/>
    <n v="47.081081081081081"/>
    <n v="1581.8690452128053"/>
    <n v="16.818690452128049"/>
  </r>
  <r>
    <d v="2024-02-01T00:00:00"/>
    <s v="AD004"/>
    <s v="Hackathon"/>
    <x v="0"/>
    <s v="22–27 Age"/>
    <n v="269710"/>
    <n v="19961"/>
    <n v="3100"/>
    <n v="1479"/>
    <n v="780"/>
    <n v="108988.07"/>
    <n v="2698691.68"/>
    <s v="South India"/>
    <n v="1"/>
    <s v="OK"/>
    <n v="7.4009120907641543"/>
    <n v="15.530284053905117"/>
    <n v="47.70967741935484"/>
    <n v="52.738336713995949"/>
    <n v="2376.1349384386749"/>
    <n v="24.761349384386751"/>
  </r>
  <r>
    <d v="2024-02-02T00:00:00"/>
    <s v="AD004"/>
    <s v="Hackathon"/>
    <x v="0"/>
    <s v="17–21 Age"/>
    <n v="85354"/>
    <n v="4637"/>
    <n v="948"/>
    <n v="471"/>
    <n v="279"/>
    <n v="39467.1"/>
    <n v="1069477.6599999999"/>
    <s v="Pan India"/>
    <n v="1"/>
    <s v="OK"/>
    <n v="5.4326686505611921"/>
    <n v="20.444252749622603"/>
    <n v="49.683544303797468"/>
    <n v="59.235668789808912"/>
    <n v="2609.7953992059206"/>
    <n v="27.097953992059207"/>
  </r>
  <r>
    <d v="2024-02-03T00:00:00"/>
    <s v="AD004"/>
    <s v="Hackathon"/>
    <x v="0"/>
    <s v="17–21 Age"/>
    <n v="96853"/>
    <n v="3046"/>
    <n v="699"/>
    <n v="327"/>
    <n v="162"/>
    <n v="53820.55"/>
    <n v="868489.67"/>
    <s v="North India"/>
    <n v="1"/>
    <s v="OK"/>
    <n v="3.1449722775752949"/>
    <n v="22.948128693368353"/>
    <n v="46.781115879828327"/>
    <n v="49.541284403669728"/>
    <n v="1513.6766904091467"/>
    <n v="16.136766904091466"/>
  </r>
  <r>
    <d v="2024-02-04T00:00:00"/>
    <s v="AD004"/>
    <s v="Hackathon"/>
    <x v="0"/>
    <s v="17–21 Age"/>
    <n v="251547"/>
    <n v="15827"/>
    <n v="2989"/>
    <n v="1925"/>
    <n v="804"/>
    <n v="123902.52"/>
    <n v="5851415.0499999998"/>
    <s v="West India"/>
    <n v="1"/>
    <s v="OK"/>
    <n v="6.2918659336028648"/>
    <n v="18.885448916408667"/>
    <n v="64.402810304449659"/>
    <n v="41.766233766233768"/>
    <n v="4622.5956744059768"/>
    <n v="47.225956744059765"/>
  </r>
  <r>
    <d v="2024-02-05T00:00:00"/>
    <s v="AD004"/>
    <s v="Hackathon"/>
    <x v="0"/>
    <s v="17–21 Age"/>
    <n v="189912"/>
    <n v="12514"/>
    <n v="2711"/>
    <n v="1616"/>
    <n v="890"/>
    <n v="132682.38"/>
    <n v="5279956.6399999997"/>
    <s v="North India"/>
    <n v="1"/>
    <s v="OK"/>
    <n v="6.5893677071485746"/>
    <n v="21.663736614991212"/>
    <n v="59.609000368867584"/>
    <n v="55.07425742574258"/>
    <n v="3879.3954856703649"/>
    <n v="39.79395485670365"/>
  </r>
  <r>
    <d v="2024-02-06T00:00:00"/>
    <s v="AD004"/>
    <s v="Hackathon"/>
    <x v="0"/>
    <s v="25–35 Age"/>
    <n v="202653"/>
    <n v="7479"/>
    <n v="1790"/>
    <n v="1010"/>
    <n v="592"/>
    <n v="93098.57"/>
    <n v="3172503.59"/>
    <s v="West India"/>
    <n v="1"/>
    <s v="OK"/>
    <n v="3.6905449216147801"/>
    <n v="23.933680973392164"/>
    <n v="56.424581005586596"/>
    <n v="58.613861386138609"/>
    <n v="3307.6824058629468"/>
    <n v="34.07682405862947"/>
  </r>
  <r>
    <d v="2024-02-07T00:00:00"/>
    <s v="AD004"/>
    <s v="Hackathon"/>
    <x v="0"/>
    <s v="17–21 Age"/>
    <n v="72831"/>
    <n v="5085"/>
    <n v="1192"/>
    <n v="648"/>
    <n v="367"/>
    <n v="65890.34"/>
    <n v="2806226.91"/>
    <s v="West India"/>
    <n v="1"/>
    <s v="OK"/>
    <n v="6.9819170408205302"/>
    <n v="23.441494591937069"/>
    <n v="54.36241610738255"/>
    <n v="56.635802469135797"/>
    <n v="4158.9352399759973"/>
    <n v="42.589352399759967"/>
  </r>
  <r>
    <d v="2024-02-08T00:00:00"/>
    <s v="AD004"/>
    <s v="Hackathon"/>
    <x v="0"/>
    <s v="25–35 Age"/>
    <n v="215776"/>
    <n v="15117"/>
    <n v="2292"/>
    <n v="1195"/>
    <n v="520"/>
    <n v="203852.45"/>
    <n v="3424734.79"/>
    <s v="East India"/>
    <n v="1"/>
    <s v="OK"/>
    <n v="7.0058764644816849"/>
    <n v="15.161738440166699"/>
    <n v="52.137870855148336"/>
    <n v="43.51464435146444"/>
    <n v="1580.0066862085787"/>
    <n v="16.800066862085789"/>
  </r>
  <r>
    <d v="2024-02-09T00:00:00"/>
    <s v="AD004"/>
    <s v="Hackathon"/>
    <x v="0"/>
    <s v="17–21 Age"/>
    <n v="72443"/>
    <n v="3074"/>
    <n v="557"/>
    <n v="275"/>
    <n v="119"/>
    <n v="67537.919999999998"/>
    <n v="364638.44"/>
    <s v="South India"/>
    <n v="1"/>
    <s v="OK"/>
    <n v="4.2433361401377638"/>
    <n v="18.119713728041638"/>
    <n v="49.371633752244165"/>
    <n v="43.272727272727273"/>
    <n v="439.90179146766735"/>
    <n v="5.3990179146766737"/>
  </r>
  <r>
    <d v="2024-02-10T00:00:00"/>
    <s v="AD004"/>
    <s v="Hackathon"/>
    <x v="0"/>
    <s v="25–35 Age"/>
    <n v="155169"/>
    <n v="10534"/>
    <n v="1826"/>
    <n v="964"/>
    <n v="488"/>
    <n v="65548.509999999995"/>
    <n v="2007650.15"/>
    <s v="South India"/>
    <n v="1"/>
    <s v="OK"/>
    <n v="6.7887271297746326"/>
    <n v="17.334345927472945"/>
    <n v="52.79299014238773"/>
    <n v="50.622406639004147"/>
    <n v="2962.8463560804053"/>
    <n v="30.628463560804054"/>
  </r>
  <r>
    <d v="2024-02-11T00:00:00"/>
    <s v="AD004"/>
    <s v="Hackathon"/>
    <x v="0"/>
    <s v="17–21 Age"/>
    <n v="145600"/>
    <n v="10817"/>
    <n v="2620"/>
    <n v="1253"/>
    <n v="628"/>
    <n v="143250"/>
    <n v="3766197.11"/>
    <s v="Pan India"/>
    <n v="1"/>
    <s v="OK"/>
    <n v="7.4292582417582427"/>
    <n v="24.221133401127855"/>
    <n v="47.824427480916029"/>
    <n v="50.119712689545096"/>
    <n v="2529.1079301919717"/>
    <n v="26.291079301919719"/>
  </r>
  <r>
    <d v="2024-02-12T00:00:00"/>
    <s v="AD004"/>
    <s v="Hackathon"/>
    <x v="0"/>
    <s v="22–27 Age"/>
    <n v="235449"/>
    <n v="17901"/>
    <n v="3572"/>
    <n v="1970"/>
    <n v="869"/>
    <n v="156170.04999999999"/>
    <n v="3779197.39"/>
    <s v="East India"/>
    <n v="1"/>
    <s v="OK"/>
    <n v="7.6029203776614036"/>
    <n v="19.954192503212113"/>
    <n v="55.151175811870104"/>
    <n v="44.111675126903556"/>
    <n v="2319.92455659712"/>
    <n v="24.1992455659712"/>
  </r>
  <r>
    <d v="2024-02-13T00:00:00"/>
    <s v="AD004"/>
    <s v="Hackathon"/>
    <x v="0"/>
    <s v="25–35 Age"/>
    <n v="92082"/>
    <n v="5873"/>
    <n v="1376"/>
    <n v="740"/>
    <n v="425"/>
    <n v="72924.97"/>
    <n v="2747864.33"/>
    <s v="North India"/>
    <n v="1"/>
    <s v="OK"/>
    <n v="6.378010903325297"/>
    <n v="23.429252511493274"/>
    <n v="53.779069767441854"/>
    <n v="57.432432432432435"/>
    <n v="3668.0705662271785"/>
    <n v="37.680705662271784"/>
  </r>
  <r>
    <d v="2024-02-14T00:00:00"/>
    <s v="AD004"/>
    <s v="Hackathon"/>
    <x v="0"/>
    <s v="22–27 Age"/>
    <n v="69767"/>
    <n v="4894"/>
    <n v="1047"/>
    <n v="585"/>
    <n v="275"/>
    <n v="47791.5"/>
    <n v="2145764.4700000002"/>
    <s v="Pan India"/>
    <n v="1"/>
    <s v="OK"/>
    <n v="7.0147777602591486"/>
    <n v="21.393543114017163"/>
    <n v="55.873925501432666"/>
    <n v="47.008547008547005"/>
    <n v="4389.8454118410182"/>
    <n v="44.898454118410179"/>
  </r>
  <r>
    <d v="2024-02-15T00:00:00"/>
    <s v="AD004"/>
    <s v="Hackathon"/>
    <x v="0"/>
    <s v="17–21 Age"/>
    <n v="131440"/>
    <n v="4550"/>
    <n v="1063"/>
    <n v="659"/>
    <n v="286"/>
    <n v="119990.61"/>
    <n v="1990223.55"/>
    <s v="East India"/>
    <n v="1"/>
    <s v="OK"/>
    <n v="3.4616555082166767"/>
    <n v="23.362637362637361"/>
    <n v="61.994355597365946"/>
    <n v="43.399089529590292"/>
    <n v="1558.6494143166701"/>
    <n v="16.586494143166703"/>
  </r>
  <r>
    <d v="2024-02-16T00:00:00"/>
    <s v="AD004"/>
    <s v="Hackathon"/>
    <x v="0"/>
    <s v="25–35 Age"/>
    <n v="281475"/>
    <n v="14540"/>
    <n v="2460"/>
    <n v="1239"/>
    <n v="519"/>
    <n v="112654.64"/>
    <n v="3920124.36"/>
    <s v="South India"/>
    <n v="1"/>
    <s v="OK"/>
    <n v="5.1656452615685229"/>
    <n v="16.918844566712519"/>
    <n v="50.365853658536587"/>
    <n v="41.888619854721547"/>
    <n v="3379.7717697202706"/>
    <n v="34.797717697202707"/>
  </r>
  <r>
    <d v="2024-02-17T00:00:00"/>
    <s v="AD004"/>
    <s v="Hackathon"/>
    <x v="0"/>
    <s v="17–21 Age"/>
    <n v="138904"/>
    <n v="6550"/>
    <n v="1548"/>
    <n v="797"/>
    <n v="435"/>
    <n v="128170.76"/>
    <n v="3043168.56"/>
    <s v="South India"/>
    <n v="1"/>
    <s v="OK"/>
    <n v="4.7154869550192942"/>
    <n v="23.63358778625954"/>
    <n v="51.485788113695087"/>
    <n v="54.579673776662489"/>
    <n v="2274.3079622840655"/>
    <n v="23.743079622840657"/>
  </r>
  <r>
    <d v="2024-02-18T00:00:00"/>
    <s v="AD004"/>
    <s v="Hackathon"/>
    <x v="0"/>
    <s v="25–35 Age"/>
    <n v="294254"/>
    <n v="13308"/>
    <n v="3157"/>
    <n v="1809"/>
    <n v="752"/>
    <n v="251733.22"/>
    <n v="4143706.82"/>
    <s v="Pan India"/>
    <n v="1"/>
    <s v="OK"/>
    <n v="4.5226233118326347"/>
    <n v="23.722572888488127"/>
    <n v="57.30123535001583"/>
    <n v="41.569928137092319"/>
    <n v="1546.0707172458208"/>
    <n v="16.460707172458207"/>
  </r>
  <r>
    <d v="2024-02-19T00:00:00"/>
    <s v="AD004"/>
    <s v="Hackathon"/>
    <x v="0"/>
    <s v="17–21 Age"/>
    <n v="176880"/>
    <n v="12551"/>
    <n v="2597"/>
    <n v="1551"/>
    <n v="905"/>
    <n v="165229.22"/>
    <n v="3242544.96"/>
    <s v="South India"/>
    <n v="1"/>
    <s v="OK"/>
    <n v="7.095771144278606"/>
    <n v="20.691578360290016"/>
    <n v="59.722757027339235"/>
    <n v="58.349451966473239"/>
    <n v="1862.4525008349008"/>
    <n v="19.624525008349007"/>
  </r>
  <r>
    <d v="2024-02-20T00:00:00"/>
    <s v="AD004"/>
    <s v="Hackathon"/>
    <x v="0"/>
    <s v="25–35 Age"/>
    <n v="135158"/>
    <n v="10392"/>
    <n v="2062"/>
    <n v="977"/>
    <n v="480"/>
    <n v="101398.32"/>
    <n v="1965140.43"/>
    <s v="North India"/>
    <n v="1"/>
    <s v="OK"/>
    <n v="7.6887790585832878"/>
    <n v="19.842186297151652"/>
    <n v="47.381183317167796"/>
    <n v="49.12998976458546"/>
    <n v="1838.0404231549396"/>
    <n v="19.380404231549395"/>
  </r>
  <r>
    <d v="2024-02-21T00:00:00"/>
    <s v="AD004"/>
    <s v="Hackathon"/>
    <x v="0"/>
    <s v="22–27 Age"/>
    <n v="236532"/>
    <n v="17823"/>
    <n v="2773"/>
    <n v="1664"/>
    <n v="752"/>
    <n v="209088.36"/>
    <n v="2447521.69"/>
    <s v="Pan India"/>
    <n v="1"/>
    <s v="OK"/>
    <n v="7.5351326670387087"/>
    <n v="15.558547943668295"/>
    <n v="60.007212405337185"/>
    <n v="45.192307692307693"/>
    <n v="1070.5681224913717"/>
    <n v="11.705681224913716"/>
  </r>
  <r>
    <d v="2024-02-22T00:00:00"/>
    <s v="AD004"/>
    <s v="Hackathon"/>
    <x v="0"/>
    <s v="17–21 Age"/>
    <n v="279307"/>
    <n v="12903"/>
    <n v="2336"/>
    <n v="1311"/>
    <n v="548"/>
    <n v="265211.11"/>
    <n v="3931415.84"/>
    <s v="North India"/>
    <n v="1"/>
    <s v="OK"/>
    <n v="4.6196479143021838"/>
    <n v="18.104316825544448"/>
    <n v="56.121575342465761"/>
    <n v="41.800152555301295"/>
    <n v="1382.3722279206177"/>
    <n v="14.823722279206176"/>
  </r>
  <r>
    <d v="2024-02-23T00:00:00"/>
    <s v="AD004"/>
    <s v="Hackathon"/>
    <x v="0"/>
    <s v="17–21 Age"/>
    <n v="51984"/>
    <n v="2911"/>
    <n v="604"/>
    <n v="374"/>
    <n v="222"/>
    <n v="27007.8"/>
    <n v="1729748.62"/>
    <s v="South India"/>
    <n v="1"/>
    <s v="OK"/>
    <n v="5.5997999384425974"/>
    <n v="20.748883545173481"/>
    <n v="61.920529801324506"/>
    <n v="59.358288770053477"/>
    <n v="6304.6261450395814"/>
    <n v="64.046261450395818"/>
  </r>
  <r>
    <d v="2024-02-24T00:00:00"/>
    <s v="AD004"/>
    <s v="Hackathon"/>
    <x v="0"/>
    <s v="25–35 Age"/>
    <n v="103947"/>
    <n v="7149"/>
    <n v="1414"/>
    <n v="811"/>
    <n v="375"/>
    <n v="55023.96"/>
    <n v="1623225.67"/>
    <s v="South India"/>
    <n v="1"/>
    <s v="OK"/>
    <n v="6.8775433634448326"/>
    <n v="19.778990068541056"/>
    <n v="57.355021216407351"/>
    <n v="46.239210850801484"/>
    <n v="2850.0342578033278"/>
    <n v="29.500342578033276"/>
  </r>
  <r>
    <d v="2024-02-25T00:00:00"/>
    <s v="AD004"/>
    <s v="Hackathon"/>
    <x v="0"/>
    <s v="22–27 Age"/>
    <n v="61783"/>
    <n v="3786"/>
    <n v="675"/>
    <n v="431"/>
    <n v="230"/>
    <n v="48713"/>
    <n v="1095170.8600000001"/>
    <s v="East India"/>
    <n v="1"/>
    <s v="OK"/>
    <n v="6.1278992603143259"/>
    <n v="17.828843106180667"/>
    <n v="63.851851851851848"/>
    <n v="53.364269141531317"/>
    <n v="2148.2106624515018"/>
    <n v="22.482106624515019"/>
  </r>
  <r>
    <d v="2024-02-26T00:00:00"/>
    <s v="AD004"/>
    <s v="Hackathon"/>
    <x v="0"/>
    <s v="25–35 Age"/>
    <n v="211522"/>
    <n v="8146"/>
    <n v="1649"/>
    <n v="828"/>
    <n v="347"/>
    <n v="139232"/>
    <n v="1343595.62"/>
    <s v="East India"/>
    <n v="1"/>
    <s v="OK"/>
    <n v="3.851136052041868"/>
    <n v="20.243064080530321"/>
    <n v="50.212249848392965"/>
    <n v="41.908212560386474"/>
    <n v="865.00489829924163"/>
    <n v="9.6500489829924163"/>
  </r>
  <r>
    <d v="2024-02-27T00:00:00"/>
    <s v="AD004"/>
    <s v="Hackathon"/>
    <x v="0"/>
    <s v="22–27 Age"/>
    <n v="55880"/>
    <n v="1910"/>
    <n v="340"/>
    <n v="220"/>
    <n v="103"/>
    <n v="40730.480000000003"/>
    <n v="486883.69"/>
    <s v="South India"/>
    <n v="1"/>
    <s v="OK"/>
    <n v="3.4180386542591266"/>
    <n v="17.801047120418847"/>
    <n v="64.705882352941174"/>
    <n v="46.81818181818182"/>
    <n v="1095.3792098693657"/>
    <n v="11.953792098693656"/>
  </r>
  <r>
    <d v="2024-02-28T00:00:00"/>
    <s v="AD004"/>
    <s v="Hackathon"/>
    <x v="0"/>
    <s v="17–21 Age"/>
    <n v="167535"/>
    <n v="11504"/>
    <n v="2177"/>
    <n v="1304"/>
    <n v="556"/>
    <n v="110296.86"/>
    <n v="4174012.5"/>
    <s v="West India"/>
    <n v="1"/>
    <s v="OK"/>
    <n v="6.8666248843525235"/>
    <n v="18.923852573018081"/>
    <n v="59.89894350022967"/>
    <n v="42.638036809815951"/>
    <n v="3684.3439060731193"/>
    <n v="37.843439060731193"/>
  </r>
  <r>
    <d v="2024-02-29T00:00:00"/>
    <s v="AD004"/>
    <s v="Hackathon"/>
    <x v="0"/>
    <s v="25–35 Age"/>
    <n v="206944"/>
    <n v="15993"/>
    <n v="2610"/>
    <n v="1657"/>
    <n v="747"/>
    <n v="170089.29"/>
    <n v="2704688.17"/>
    <s v="West India"/>
    <n v="1"/>
    <s v="OK"/>
    <n v="7.7281776712540591"/>
    <n v="16.319639842431062"/>
    <n v="63.486590038314169"/>
    <n v="45.081472540736272"/>
    <n v="1490.1578341587526"/>
    <n v="15.901578341587527"/>
  </r>
  <r>
    <d v="2024-03-01T00:00:00"/>
    <s v="AD001"/>
    <s v="UG Admission"/>
    <x v="1"/>
    <s v="17–21 Age"/>
    <n v="86043"/>
    <n v="5121"/>
    <n v="1032"/>
    <n v="663"/>
    <n v="383"/>
    <n v="84842.240000000005"/>
    <n v="2067523.93"/>
    <s v="Pan India"/>
    <n v="1"/>
    <s v="OK"/>
    <n v="5.9516753251281331"/>
    <n v="20.152314001171646"/>
    <n v="64.244186046511629"/>
    <n v="57.76772247360482"/>
    <n v="2336.9039879192251"/>
    <n v="24.36903987919225"/>
  </r>
  <r>
    <d v="2024-03-01T00:00:00"/>
    <s v="AD004"/>
    <s v="Hackathon"/>
    <x v="0"/>
    <s v="22–27 Age"/>
    <n v="238624"/>
    <n v="16826"/>
    <n v="3034"/>
    <n v="1553"/>
    <n v="882"/>
    <n v="121439.76"/>
    <n v="5523179.9500000002"/>
    <s v="East India"/>
    <n v="1"/>
    <s v="OK"/>
    <n v="7.0512605605471377"/>
    <n v="18.031617734458578"/>
    <n v="51.1865524060646"/>
    <n v="56.793303283966509"/>
    <n v="4448.0820696615347"/>
    <n v="45.480820696615346"/>
  </r>
  <r>
    <d v="2024-03-02T00:00:00"/>
    <s v="AD001"/>
    <s v="UG Admission"/>
    <x v="1"/>
    <s v="17–21 Age"/>
    <n v="106383"/>
    <n v="8132"/>
    <n v="1989"/>
    <n v="1180"/>
    <n v="597"/>
    <n v="68120.59"/>
    <n v="4167141.49"/>
    <s v="South India"/>
    <n v="1"/>
    <s v="OK"/>
    <n v="7.6440784711843053"/>
    <n v="24.458927693064435"/>
    <n v="59.32629462041227"/>
    <n v="50.593220338983045"/>
    <n v="6017.3009364716318"/>
    <n v="61.173009364716314"/>
  </r>
  <r>
    <d v="2024-03-02T00:00:00"/>
    <s v="AD004"/>
    <s v="Hackathon"/>
    <x v="0"/>
    <s v="25–35 Age"/>
    <n v="137353"/>
    <n v="10177"/>
    <n v="1561"/>
    <n v="926"/>
    <n v="440"/>
    <n v="62507.3"/>
    <n v="2300981.91"/>
    <s v="Pan India"/>
    <n v="1"/>
    <s v="OK"/>
    <n v="7.4093758418090614"/>
    <n v="15.338508401297043"/>
    <n v="59.320948110185782"/>
    <n v="47.516198704103672"/>
    <n v="3581.14109871967"/>
    <n v="36.811410987196695"/>
  </r>
  <r>
    <d v="2024-03-03T00:00:00"/>
    <s v="AD001"/>
    <s v="UG Admission"/>
    <x v="1"/>
    <s v="17–21 Age"/>
    <n v="190183"/>
    <n v="9911"/>
    <n v="2343"/>
    <n v="1331"/>
    <n v="712"/>
    <n v="170515"/>
    <n v="2633312.2000000002"/>
    <s v="North India"/>
    <n v="1"/>
    <s v="OK"/>
    <n v="5.2112964881193378"/>
    <n v="23.640399556048834"/>
    <n v="56.8075117370892"/>
    <n v="53.49361382419233"/>
    <n v="1444.3287687300237"/>
    <n v="15.443287687300238"/>
  </r>
  <r>
    <d v="2024-03-03T00:00:00"/>
    <s v="AD004"/>
    <s v="Hackathon"/>
    <x v="0"/>
    <s v="17–21 Age"/>
    <n v="248339"/>
    <n v="16962"/>
    <n v="3496"/>
    <n v="1806"/>
    <n v="789"/>
    <n v="175686.39999999999"/>
    <n v="2908345.21"/>
    <s v="East India"/>
    <n v="1"/>
    <s v="OK"/>
    <n v="6.8301797140199492"/>
    <n v="20.610777031010493"/>
    <n v="51.659038901601825"/>
    <n v="43.687707641196013"/>
    <n v="1555.4185241430184"/>
    <n v="16.554185241430186"/>
  </r>
  <r>
    <d v="2024-03-04T00:00:00"/>
    <s v="AD001"/>
    <s v="UG Admission"/>
    <x v="1"/>
    <s v="17–21 Age"/>
    <n v="151825"/>
    <n v="7293"/>
    <n v="1728"/>
    <n v="1114"/>
    <n v="497"/>
    <n v="76965.64"/>
    <n v="3527269.49"/>
    <s v="West India"/>
    <n v="1"/>
    <s v="OK"/>
    <n v="4.8035567264943193"/>
    <n v="23.69395310571781"/>
    <n v="64.467592592592595"/>
    <n v="44.614003590664275"/>
    <n v="4482.914518738492"/>
    <n v="45.829145187384917"/>
  </r>
  <r>
    <d v="2024-03-04T00:00:00"/>
    <s v="AD004"/>
    <s v="Hackathon"/>
    <x v="0"/>
    <s v="17–21 Age"/>
    <n v="56983"/>
    <n v="2037"/>
    <n v="418"/>
    <n v="208"/>
    <n v="123"/>
    <n v="53251.91"/>
    <n v="737803.26"/>
    <s v="Pan India"/>
    <n v="1"/>
    <s v="OK"/>
    <n v="3.574750364143692"/>
    <n v="20.520373097692683"/>
    <n v="49.760765550239235"/>
    <n v="59.134615384615387"/>
    <n v="1285.4963324320197"/>
    <n v="13.854963324320197"/>
  </r>
  <r>
    <d v="2024-03-05T00:00:00"/>
    <s v="AD001"/>
    <s v="UG Admission"/>
    <x v="1"/>
    <s v="17–21 Age"/>
    <n v="70110"/>
    <n v="3013"/>
    <n v="750"/>
    <n v="468"/>
    <n v="238"/>
    <n v="52948"/>
    <n v="1892177.59"/>
    <s v="South India"/>
    <n v="1"/>
    <s v="OK"/>
    <n v="4.2975324490087008"/>
    <n v="24.892134085628943"/>
    <n v="62.4"/>
    <n v="50.854700854700852"/>
    <n v="3473.6526214399037"/>
    <n v="35.736526214399035"/>
  </r>
  <r>
    <d v="2024-03-05T00:00:00"/>
    <s v="AD004"/>
    <s v="Hackathon"/>
    <x v="0"/>
    <s v="22–27 Age"/>
    <n v="161034"/>
    <n v="5095"/>
    <n v="881"/>
    <n v="462"/>
    <n v="224"/>
    <n v="84019.32"/>
    <n v="923164.11"/>
    <s v="South India"/>
    <n v="1"/>
    <s v="OK"/>
    <n v="3.1639281145596581"/>
    <n v="17.291462217860648"/>
    <n v="52.440408626560732"/>
    <n v="48.484848484848484"/>
    <n v="998.75217985577592"/>
    <n v="10.98752179855776"/>
  </r>
  <r>
    <d v="2024-03-06T00:00:00"/>
    <s v="AD001"/>
    <s v="UG Admission"/>
    <x v="1"/>
    <s v="17–21 Age"/>
    <n v="127872"/>
    <n v="7698"/>
    <n v="1526"/>
    <n v="763"/>
    <n v="381"/>
    <n v="116041.16"/>
    <n v="2303108.0099999998"/>
    <s v="Pan India"/>
    <n v="1"/>
    <s v="OK"/>
    <n v="6.0200825825825826"/>
    <n v="19.823330735255912"/>
    <n v="50"/>
    <n v="49.934469200524248"/>
    <n v="1884.7337013866454"/>
    <n v="19.847337013866458"/>
  </r>
  <r>
    <d v="2024-03-06T00:00:00"/>
    <s v="AD004"/>
    <s v="Hackathon"/>
    <x v="0"/>
    <s v="17–21 Age"/>
    <n v="207444"/>
    <n v="12055"/>
    <n v="2103"/>
    <n v="1256"/>
    <n v="542"/>
    <n v="112399.62"/>
    <n v="2091662.03"/>
    <s v="North India"/>
    <n v="1"/>
    <s v="OK"/>
    <n v="5.8112068799290411"/>
    <n v="17.445043550394026"/>
    <n v="59.724203518782694"/>
    <n v="43.152866242038215"/>
    <n v="1760.9155707110044"/>
    <n v="18.609155707110041"/>
  </r>
  <r>
    <d v="2024-03-07T00:00:00"/>
    <s v="AD001"/>
    <s v="UG Admission"/>
    <x v="1"/>
    <s v="17–21 Age"/>
    <n v="125458"/>
    <n v="8435"/>
    <n v="1509"/>
    <n v="693"/>
    <n v="366"/>
    <n v="66260.179999999993"/>
    <n v="2398363.29"/>
    <s v="West India"/>
    <n v="1"/>
    <s v="OK"/>
    <n v="6.7233655884837953"/>
    <n v="17.889745109662123"/>
    <n v="45.92445328031809"/>
    <n v="52.813852813852812"/>
    <n v="3519.61481239562"/>
    <n v="36.196148123956199"/>
  </r>
  <r>
    <d v="2024-03-07T00:00:00"/>
    <s v="AD004"/>
    <s v="Hackathon"/>
    <x v="0"/>
    <s v="25–35 Age"/>
    <n v="125186"/>
    <n v="5438"/>
    <n v="1013"/>
    <n v="516"/>
    <n v="288"/>
    <n v="70257.17"/>
    <n v="1655474.48"/>
    <s v="East India"/>
    <n v="1"/>
    <s v="OK"/>
    <n v="4.3439362229003242"/>
    <n v="18.628172122103713"/>
    <n v="50.937808489634747"/>
    <n v="55.813953488372093"/>
    <n v="2256.3068082588584"/>
    <n v="23.563068082588583"/>
  </r>
  <r>
    <d v="2024-03-08T00:00:00"/>
    <s v="AD001"/>
    <s v="UG Admission"/>
    <x v="1"/>
    <s v="17–21 Age"/>
    <n v="52749"/>
    <n v="3113"/>
    <n v="594"/>
    <n v="267"/>
    <n v="132"/>
    <n v="47097.46"/>
    <n v="644765.61"/>
    <s v="West India"/>
    <n v="1"/>
    <s v="OK"/>
    <n v="5.9015336783635703"/>
    <n v="19.081272084805654"/>
    <n v="44.949494949494948"/>
    <n v="49.438202247191008"/>
    <n v="1269.002935614787"/>
    <n v="13.690029356147869"/>
  </r>
  <r>
    <d v="2024-03-08T00:00:00"/>
    <s v="AD004"/>
    <s v="Hackathon"/>
    <x v="0"/>
    <s v="17–21 Age"/>
    <n v="153379"/>
    <n v="7139"/>
    <n v="1663"/>
    <n v="957"/>
    <n v="429"/>
    <n v="102014.36"/>
    <n v="1463624.77"/>
    <s v="South India"/>
    <n v="1"/>
    <s v="OK"/>
    <n v="4.654483338657835"/>
    <n v="23.294579072699257"/>
    <n v="57.546602525556224"/>
    <n v="44.827586206896555"/>
    <n v="1334.7242584279311"/>
    <n v="14.347242584279311"/>
  </r>
  <r>
    <d v="2024-03-09T00:00:00"/>
    <s v="AD001"/>
    <s v="UG Admission"/>
    <x v="1"/>
    <s v="17–21 Age"/>
    <n v="55614"/>
    <n v="3540"/>
    <n v="572"/>
    <n v="343"/>
    <n v="154"/>
    <n v="36078.71"/>
    <n v="646246.86"/>
    <s v="North India"/>
    <n v="1"/>
    <s v="OK"/>
    <n v="6.3653037005070665"/>
    <n v="16.158192090395477"/>
    <n v="59.965034965034967"/>
    <n v="44.897959183673471"/>
    <n v="1691.2138765493555"/>
    <n v="17.912138765493555"/>
  </r>
  <r>
    <d v="2024-03-09T00:00:00"/>
    <s v="AD004"/>
    <s v="Hackathon"/>
    <x v="0"/>
    <s v="17–21 Age"/>
    <n v="123685"/>
    <n v="8520"/>
    <n v="2108"/>
    <n v="1010"/>
    <n v="406"/>
    <n v="122048.41"/>
    <n v="1454477.2"/>
    <s v="South India"/>
    <n v="1"/>
    <s v="OK"/>
    <n v="6.8884666693616854"/>
    <n v="24.741784037558688"/>
    <n v="47.91271347248577"/>
    <n v="40.198019801980202"/>
    <n v="1091.7215472122907"/>
    <n v="11.917215472122905"/>
  </r>
  <r>
    <d v="2024-03-10T00:00:00"/>
    <s v="AD001"/>
    <s v="UG Admission"/>
    <x v="1"/>
    <s v="17–21 Age"/>
    <n v="160586"/>
    <n v="9019"/>
    <n v="1457"/>
    <n v="790"/>
    <n v="427"/>
    <n v="118320.36"/>
    <n v="2536804.91"/>
    <s v="North India"/>
    <n v="1"/>
    <s v="OK"/>
    <n v="5.6163052819050225"/>
    <n v="16.154784344162323"/>
    <n v="54.221002059025395"/>
    <n v="54.050632911392405"/>
    <n v="2044.0138535751582"/>
    <n v="21.440138535751583"/>
  </r>
  <r>
    <d v="2024-03-10T00:00:00"/>
    <s v="AD004"/>
    <s v="Hackathon"/>
    <x v="0"/>
    <s v="25–35 Age"/>
    <n v="226639"/>
    <n v="12635"/>
    <n v="2302"/>
    <n v="1218"/>
    <n v="650"/>
    <n v="199476.34"/>
    <n v="3964941.02"/>
    <s v="Pan India"/>
    <n v="1"/>
    <s v="OK"/>
    <n v="5.574945177131915"/>
    <n v="18.219232291254453"/>
    <n v="52.910512597741096"/>
    <n v="53.366174055829227"/>
    <n v="1887.6748390310349"/>
    <n v="19.87674839031035"/>
  </r>
  <r>
    <d v="2024-03-11T00:00:00"/>
    <s v="AD001"/>
    <s v="UG Admission"/>
    <x v="1"/>
    <s v="17–21 Age"/>
    <n v="73407"/>
    <n v="5606"/>
    <n v="883"/>
    <n v="498"/>
    <n v="256"/>
    <n v="70482.990000000005"/>
    <n v="1018845.71"/>
    <s v="West India"/>
    <n v="1"/>
    <s v="OK"/>
    <n v="7.6368738676148045"/>
    <n v="15.750981091687477"/>
    <n v="56.398640996602488"/>
    <n v="51.405622489959832"/>
    <n v="1345.5199900004241"/>
    <n v="14.45519990000424"/>
  </r>
  <r>
    <d v="2024-03-11T00:00:00"/>
    <s v="AD004"/>
    <s v="Hackathon"/>
    <x v="0"/>
    <s v="22–27 Age"/>
    <n v="213309"/>
    <n v="8042"/>
    <n v="1913"/>
    <n v="1209"/>
    <n v="533"/>
    <n v="164269.5"/>
    <n v="4063881.15"/>
    <s v="North India"/>
    <n v="1"/>
    <s v="OK"/>
    <n v="3.7701175290306552"/>
    <n v="23.787615021139018"/>
    <n v="63.199163617354934"/>
    <n v="44.086021505376344"/>
    <n v="2373.9109512112714"/>
    <n v="24.739109512112716"/>
  </r>
  <r>
    <d v="2024-03-12T00:00:00"/>
    <s v="AD001"/>
    <s v="UG Admission"/>
    <x v="1"/>
    <s v="17–21 Age"/>
    <n v="216597"/>
    <n v="15507"/>
    <n v="2335"/>
    <n v="1445"/>
    <n v="726"/>
    <n v="192461.62"/>
    <n v="2305973.39"/>
    <s v="North India"/>
    <n v="1"/>
    <s v="OK"/>
    <n v="7.1593789387664657"/>
    <n v="15.057715870252144"/>
    <n v="61.884368308351178"/>
    <n v="50.242214532871976"/>
    <n v="1098.1471370759532"/>
    <n v="11.981471370759532"/>
  </r>
  <r>
    <d v="2024-03-12T00:00:00"/>
    <s v="AD004"/>
    <s v="Hackathon"/>
    <x v="0"/>
    <s v="25–35 Age"/>
    <n v="226506"/>
    <n v="7970"/>
    <n v="1292"/>
    <n v="750"/>
    <n v="420"/>
    <n v="175994.8"/>
    <n v="2066586.58"/>
    <s v="Pan India"/>
    <n v="1"/>
    <s v="OK"/>
    <n v="3.5186705870926156"/>
    <n v="16.210790464240905"/>
    <n v="58.049535603715171"/>
    <n v="56.000000000000007"/>
    <n v="1074.2316136613128"/>
    <n v="11.742316136613129"/>
  </r>
  <r>
    <d v="2024-03-13T00:00:00"/>
    <s v="AD001"/>
    <s v="UG Admission"/>
    <x v="1"/>
    <s v="17–21 Age"/>
    <n v="175194"/>
    <n v="5344"/>
    <n v="957"/>
    <n v="551"/>
    <n v="261"/>
    <n v="169204.3"/>
    <n v="976767.04"/>
    <s v="West India"/>
    <n v="1"/>
    <s v="OK"/>
    <n v="3.0503327739534458"/>
    <n v="17.907934131736528"/>
    <n v="57.575757575757578"/>
    <n v="47.368421052631575"/>
    <n v="477.27081403959596"/>
    <n v="5.7727081403959595"/>
  </r>
  <r>
    <d v="2024-03-13T00:00:00"/>
    <s v="AD004"/>
    <s v="Hackathon"/>
    <x v="0"/>
    <s v="22–27 Age"/>
    <n v="185895"/>
    <n v="10159"/>
    <n v="1559"/>
    <n v="796"/>
    <n v="319"/>
    <n v="152446.60999999999"/>
    <n v="2203003.63"/>
    <s v="East India"/>
    <n v="1"/>
    <s v="OK"/>
    <n v="5.4649129885150218"/>
    <n v="15.345998621911605"/>
    <n v="51.058370750481075"/>
    <n v="40.075376884422113"/>
    <n v="1345.0984708679321"/>
    <n v="14.450984708679321"/>
  </r>
  <r>
    <d v="2024-03-14T00:00:00"/>
    <s v="AD001"/>
    <s v="UG Admission"/>
    <x v="1"/>
    <s v="17–21 Age"/>
    <n v="188495"/>
    <n v="10549"/>
    <n v="1800"/>
    <n v="1004"/>
    <n v="441"/>
    <n v="182807.04000000001"/>
    <n v="2268459.2400000002"/>
    <s v="West India"/>
    <n v="1"/>
    <s v="OK"/>
    <n v="5.5964349186981091"/>
    <n v="17.063228742060861"/>
    <n v="55.777777777777779"/>
    <n v="43.924302788844621"/>
    <n v="1140.9036544763267"/>
    <n v="12.409036544763266"/>
  </r>
  <r>
    <d v="2024-03-14T00:00:00"/>
    <s v="AD004"/>
    <s v="Hackathon"/>
    <x v="0"/>
    <s v="22–27 Age"/>
    <n v="61348"/>
    <n v="4749"/>
    <n v="863"/>
    <n v="560"/>
    <n v="278"/>
    <n v="41334.61"/>
    <n v="2016292.77"/>
    <s v="Pan India"/>
    <n v="1"/>
    <s v="OK"/>
    <n v="7.7410836539088477"/>
    <n v="18.17224678879764"/>
    <n v="64.889918887601397"/>
    <n v="49.642857142857146"/>
    <n v="4777.9770028070907"/>
    <n v="48.779770028070907"/>
  </r>
  <r>
    <d v="2024-03-15T00:00:00"/>
    <s v="AD001"/>
    <s v="UG Admission"/>
    <x v="1"/>
    <s v="17–21 Age"/>
    <n v="100344"/>
    <n v="8008"/>
    <n v="1473"/>
    <n v="816"/>
    <n v="424"/>
    <n v="77929.710000000006"/>
    <n v="1344335.07"/>
    <s v="East India"/>
    <n v="1"/>
    <s v="OK"/>
    <n v="7.980546918600016"/>
    <n v="18.394105894105895"/>
    <n v="55.397148676171085"/>
    <n v="51.960784313725497"/>
    <n v="1625.0610453959086"/>
    <n v="17.250610453959087"/>
  </r>
  <r>
    <d v="2024-03-15T00:00:00"/>
    <s v="AD004"/>
    <s v="Hackathon"/>
    <x v="0"/>
    <s v="22–27 Age"/>
    <n v="194652"/>
    <n v="12957"/>
    <n v="2628"/>
    <n v="1452"/>
    <n v="793"/>
    <n v="188268.91"/>
    <n v="5847270.2300000004"/>
    <s v="East India"/>
    <n v="1"/>
    <s v="OK"/>
    <n v="6.6564946674064487"/>
    <n v="20.282472794628386"/>
    <n v="55.25114155251142"/>
    <n v="54.614325068870528"/>
    <n v="3005.8076609674958"/>
    <n v="31.058076609674959"/>
  </r>
  <r>
    <d v="2024-03-16T00:00:00"/>
    <s v="AD001"/>
    <s v="UG Admission"/>
    <x v="1"/>
    <s v="17–21 Age"/>
    <n v="275868"/>
    <n v="10436"/>
    <n v="1877"/>
    <n v="1023"/>
    <n v="453"/>
    <n v="133644.66"/>
    <n v="2895845.33"/>
    <s v="West India"/>
    <n v="1"/>
    <s v="OK"/>
    <n v="3.782968666173677"/>
    <n v="17.985818321195861"/>
    <n v="54.501864677677148"/>
    <n v="44.281524926686217"/>
    <n v="2066.8245704691826"/>
    <n v="21.668245704691831"/>
  </r>
  <r>
    <d v="2024-03-16T00:00:00"/>
    <s v="AD004"/>
    <s v="Hackathon"/>
    <x v="0"/>
    <s v="22–27 Age"/>
    <n v="144241"/>
    <n v="6954"/>
    <n v="1273"/>
    <n v="706"/>
    <n v="292"/>
    <n v="70141.8"/>
    <n v="1034342.01"/>
    <s v="East India"/>
    <n v="1"/>
    <s v="OK"/>
    <n v="4.8210980234468703"/>
    <n v="18.306010928961751"/>
    <n v="55.459544383346426"/>
    <n v="41.359773371104815"/>
    <n v="1374.6442349640299"/>
    <n v="14.746442349640299"/>
  </r>
  <r>
    <d v="2024-03-17T00:00:00"/>
    <s v="AD001"/>
    <s v="UG Admission"/>
    <x v="1"/>
    <s v="17–21 Age"/>
    <n v="292584"/>
    <n v="23331"/>
    <n v="3605"/>
    <n v="1899"/>
    <n v="921"/>
    <n v="169598.15"/>
    <n v="3162278.82"/>
    <s v="West India"/>
    <n v="1"/>
    <s v="OK"/>
    <n v="7.9741202526453945"/>
    <n v="15.451545154515451"/>
    <n v="52.676837725381418"/>
    <n v="48.499210110584521"/>
    <n v="1764.5715298191635"/>
    <n v="18.645715298191636"/>
  </r>
  <r>
    <d v="2024-03-17T00:00:00"/>
    <s v="AD004"/>
    <s v="Hackathon"/>
    <x v="0"/>
    <s v="25–35 Age"/>
    <n v="117460"/>
    <n v="8173"/>
    <n v="1756"/>
    <n v="887"/>
    <n v="365"/>
    <n v="93791.14"/>
    <n v="1580107.16"/>
    <s v="South India"/>
    <n v="1"/>
    <s v="OK"/>
    <n v="6.9581134003064875"/>
    <n v="21.485378685917045"/>
    <n v="50.512528473804096"/>
    <n v="41.149943630214203"/>
    <n v="1584.7083423871379"/>
    <n v="16.847083423871378"/>
  </r>
  <r>
    <d v="2024-03-18T00:00:00"/>
    <s v="AD001"/>
    <s v="UG Admission"/>
    <x v="1"/>
    <s v="17–21 Age"/>
    <n v="160356"/>
    <n v="10619"/>
    <n v="2317"/>
    <n v="1167"/>
    <n v="687"/>
    <n v="89639.34"/>
    <n v="4671783.2"/>
    <s v="South India"/>
    <n v="1"/>
    <s v="OK"/>
    <n v="6.6221407368604854"/>
    <n v="21.819380355965723"/>
    <n v="50.366853690116528"/>
    <n v="58.868894601542422"/>
    <n v="5111.7554636167561"/>
    <n v="52.117554636167561"/>
  </r>
  <r>
    <d v="2024-03-18T00:00:00"/>
    <s v="AD004"/>
    <s v="Hackathon"/>
    <x v="0"/>
    <s v="17–21 Age"/>
    <n v="58163"/>
    <n v="3769"/>
    <n v="797"/>
    <n v="395"/>
    <n v="178"/>
    <n v="25554.54"/>
    <n v="1293768.1399999999"/>
    <s v="North India"/>
    <n v="1"/>
    <s v="OK"/>
    <n v="6.4800646459089117"/>
    <n v="21.146192624038207"/>
    <n v="49.560853199498119"/>
    <n v="45.063291139240505"/>
    <n v="4962.7721727724311"/>
    <n v="50.627721727724307"/>
  </r>
  <r>
    <d v="2024-03-19T00:00:00"/>
    <s v="AD001"/>
    <s v="UG Admission"/>
    <x v="1"/>
    <s v="17–21 Age"/>
    <n v="172256"/>
    <n v="8896"/>
    <n v="2048"/>
    <n v="985"/>
    <n v="576"/>
    <n v="152568.15"/>
    <n v="1915389.82"/>
    <s v="East India"/>
    <n v="1"/>
    <s v="OK"/>
    <n v="5.1644064647965813"/>
    <n v="23.021582733812952"/>
    <n v="48.095703125"/>
    <n v="58.477157360406096"/>
    <n v="1155.4322904223459"/>
    <n v="12.554322904223458"/>
  </r>
  <r>
    <d v="2024-03-19T00:00:00"/>
    <s v="AD004"/>
    <s v="Hackathon"/>
    <x v="0"/>
    <s v="17–21 Age"/>
    <n v="258133"/>
    <n v="14755"/>
    <n v="2438"/>
    <n v="1536"/>
    <n v="617"/>
    <n v="103655.55"/>
    <n v="4524608.51"/>
    <s v="South India"/>
    <n v="1"/>
    <s v="OK"/>
    <n v="5.716045604397733"/>
    <n v="16.523212470349034"/>
    <n v="63.002461033634127"/>
    <n v="40.169270833333329"/>
    <n v="4265.0422095102476"/>
    <n v="43.650422095102478"/>
  </r>
  <r>
    <d v="2024-03-20T00:00:00"/>
    <s v="AD001"/>
    <s v="UG Admission"/>
    <x v="1"/>
    <s v="17–21 Age"/>
    <n v="203648"/>
    <n v="8947"/>
    <n v="1995"/>
    <n v="1108"/>
    <n v="625"/>
    <n v="126623.75"/>
    <n v="3738989.85"/>
    <s v="South India"/>
    <n v="1"/>
    <s v="OK"/>
    <n v="4.3933650219987426"/>
    <n v="22.29797697552252"/>
    <n v="55.538847117794489"/>
    <n v="56.407942238267154"/>
    <n v="2852.8345590775825"/>
    <n v="29.528345590775825"/>
  </r>
  <r>
    <d v="2024-03-20T00:00:00"/>
    <s v="AD004"/>
    <s v="Hackathon"/>
    <x v="0"/>
    <s v="22–27 Age"/>
    <n v="219527"/>
    <n v="10693"/>
    <n v="1929"/>
    <n v="990"/>
    <n v="415"/>
    <n v="203424"/>
    <n v="2119680.17"/>
    <s v="South India"/>
    <n v="1"/>
    <s v="OK"/>
    <n v="4.8709270385875092"/>
    <n v="18.039839147105582"/>
    <n v="51.32192846034215"/>
    <n v="41.919191919191917"/>
    <n v="942.00102741072817"/>
    <n v="10.420010274107282"/>
  </r>
  <r>
    <d v="2024-03-21T00:00:00"/>
    <s v="AD001"/>
    <s v="UG Admission"/>
    <x v="1"/>
    <s v="17–21 Age"/>
    <n v="85480"/>
    <n v="4749"/>
    <n v="1166"/>
    <n v="617"/>
    <n v="295"/>
    <n v="77652.63"/>
    <n v="1845721.68"/>
    <s v="North India"/>
    <n v="1"/>
    <s v="OK"/>
    <n v="5.5556855404773042"/>
    <n v="24.552537376289745"/>
    <n v="52.915951972555739"/>
    <n v="47.811993517017825"/>
    <n v="2276.8952577652549"/>
    <n v="23.768952577652552"/>
  </r>
  <r>
    <d v="2024-03-21T00:00:00"/>
    <s v="AD004"/>
    <s v="Hackathon"/>
    <x v="0"/>
    <s v="17–21 Age"/>
    <n v="284030"/>
    <n v="14236"/>
    <n v="2183"/>
    <n v="1152"/>
    <n v="592"/>
    <n v="262334.25"/>
    <n v="2663779.71"/>
    <s v="North India"/>
    <n v="1"/>
    <s v="OK"/>
    <n v="5.0121466042319467"/>
    <n v="15.334363585276764"/>
    <n v="52.771415483279895"/>
    <n v="51.388888888888886"/>
    <n v="915.41438451136287"/>
    <n v="10.154143845113628"/>
  </r>
  <r>
    <d v="2024-03-22T00:00:00"/>
    <s v="AD001"/>
    <s v="UG Admission"/>
    <x v="1"/>
    <s v="17–21 Age"/>
    <n v="298776"/>
    <n v="13733"/>
    <n v="2795"/>
    <n v="1309"/>
    <n v="703"/>
    <n v="212229.85"/>
    <n v="5350895.5999999996"/>
    <s v="West India"/>
    <n v="1"/>
    <s v="OK"/>
    <n v="4.5964200605135623"/>
    <n v="20.352435738731522"/>
    <n v="46.833631484794275"/>
    <n v="53.705118411000761"/>
    <n v="2421.273798195683"/>
    <n v="25.212737981956824"/>
  </r>
  <r>
    <d v="2024-03-22T00:00:00"/>
    <s v="AD004"/>
    <s v="Hackathon"/>
    <x v="0"/>
    <s v="22–27 Age"/>
    <n v="64434"/>
    <n v="3679"/>
    <n v="729"/>
    <n v="397"/>
    <n v="235"/>
    <n v="59041.52"/>
    <n v="1242049.05"/>
    <s v="Pan India"/>
    <n v="1"/>
    <s v="OK"/>
    <n v="5.709718471614365"/>
    <n v="19.815167164990484"/>
    <n v="54.458161865569274"/>
    <n v="59.193954659949618"/>
    <n v="2003.6874558785073"/>
    <n v="21.036874558785073"/>
  </r>
  <r>
    <d v="2024-03-23T00:00:00"/>
    <s v="AD001"/>
    <s v="UG Admission"/>
    <x v="1"/>
    <s v="17–21 Age"/>
    <n v="245366"/>
    <n v="12959"/>
    <n v="2802"/>
    <n v="1515"/>
    <n v="836"/>
    <n v="241060.05"/>
    <n v="6091993.9299999997"/>
    <s v="North India"/>
    <n v="1"/>
    <s v="OK"/>
    <n v="5.2814978440370712"/>
    <n v="21.62203873755691"/>
    <n v="54.068522483940043"/>
    <n v="55.181518151815176"/>
    <n v="2427.1686162846149"/>
    <n v="25.271686162846144"/>
  </r>
  <r>
    <d v="2024-03-23T00:00:00"/>
    <s v="AD004"/>
    <s v="Hackathon"/>
    <x v="0"/>
    <s v="25–35 Age"/>
    <n v="53724"/>
    <n v="1683"/>
    <n v="344"/>
    <n v="159"/>
    <n v="73"/>
    <n v="49801.33"/>
    <n v="513709.91"/>
    <s v="South India"/>
    <n v="1"/>
    <s v="OK"/>
    <n v="3.1326781326781328"/>
    <n v="20.439691027926322"/>
    <n v="46.220930232558139"/>
    <n v="45.911949685534594"/>
    <n v="931.51845543080856"/>
    <n v="10.315184554308086"/>
  </r>
  <r>
    <d v="2024-03-24T00:00:00"/>
    <s v="AD001"/>
    <s v="UG Admission"/>
    <x v="1"/>
    <s v="17–21 Age"/>
    <n v="240769"/>
    <n v="8468"/>
    <n v="1835"/>
    <n v="987"/>
    <n v="400"/>
    <n v="145335.12"/>
    <n v="2921642.34"/>
    <s v="South India"/>
    <n v="1"/>
    <s v="OK"/>
    <n v="3.5170640738633296"/>
    <n v="21.669815777042984"/>
    <n v="53.787465940054489"/>
    <n v="40.526849037487331"/>
    <n v="1910.279648855693"/>
    <n v="20.10279648855693"/>
  </r>
  <r>
    <d v="2024-03-24T00:00:00"/>
    <s v="AD004"/>
    <s v="Hackathon"/>
    <x v="0"/>
    <s v="17–21 Age"/>
    <n v="79876"/>
    <n v="4171"/>
    <n v="757"/>
    <n v="434"/>
    <n v="226"/>
    <n v="75946.350000000006"/>
    <n v="1660035.68"/>
    <s v="North India"/>
    <n v="1"/>
    <s v="OK"/>
    <n v="5.2218438579798683"/>
    <n v="18.149124910093501"/>
    <n v="57.331571994715979"/>
    <n v="52.073732718894007"/>
    <n v="2085.8004762572523"/>
    <n v="21.858004762572524"/>
  </r>
  <r>
    <d v="2024-03-25T00:00:00"/>
    <s v="AD001"/>
    <s v="UG Admission"/>
    <x v="1"/>
    <s v="17–21 Age"/>
    <n v="122186"/>
    <n v="5865"/>
    <n v="1463"/>
    <n v="777"/>
    <n v="313"/>
    <n v="54949.89"/>
    <n v="1100080.07"/>
    <s v="South India"/>
    <n v="1"/>
    <s v="OK"/>
    <n v="4.8000589265545974"/>
    <n v="24.944586530264278"/>
    <n v="53.110047846889955"/>
    <n v="40.283140283140284"/>
    <n v="1901.9695580828279"/>
    <n v="20.01969558082828"/>
  </r>
  <r>
    <d v="2024-03-25T00:00:00"/>
    <s v="AD004"/>
    <s v="Hackathon"/>
    <x v="0"/>
    <s v="17–21 Age"/>
    <n v="199247"/>
    <n v="9891"/>
    <n v="2264"/>
    <n v="1217"/>
    <n v="616"/>
    <n v="105185.38"/>
    <n v="4785145.21"/>
    <s v="East India"/>
    <n v="1"/>
    <s v="OK"/>
    <n v="4.9641901760126883"/>
    <n v="22.889495500960468"/>
    <n v="53.754416961130744"/>
    <n v="50.616269515201317"/>
    <n v="4449.2493443480453"/>
    <n v="45.492493443480448"/>
  </r>
  <r>
    <d v="2024-03-26T00:00:00"/>
    <s v="AD001"/>
    <s v="UG Admission"/>
    <x v="1"/>
    <s v="17–21 Age"/>
    <n v="274044"/>
    <n v="13557"/>
    <n v="2893"/>
    <n v="1644"/>
    <n v="828"/>
    <n v="131707.57999999999"/>
    <n v="6173759.6799999997"/>
    <s v="North India"/>
    <n v="1"/>
    <s v="OK"/>
    <n v="4.9470158076805184"/>
    <n v="21.339529394408792"/>
    <n v="56.826823366747327"/>
    <n v="50.364963503649641"/>
    <n v="4587.4748438928118"/>
    <n v="46.874748438928115"/>
  </r>
  <r>
    <d v="2024-03-26T00:00:00"/>
    <s v="AD004"/>
    <s v="Hackathon"/>
    <x v="0"/>
    <s v="22–27 Age"/>
    <n v="244500"/>
    <n v="9131"/>
    <n v="2098"/>
    <n v="1346"/>
    <n v="655"/>
    <n v="146175.82"/>
    <n v="3464551.93"/>
    <s v="East India"/>
    <n v="1"/>
    <s v="OK"/>
    <n v="3.7345603271983641"/>
    <n v="22.976672872631696"/>
    <n v="64.156339370829357"/>
    <n v="48.662704309063891"/>
    <n v="2270.1265571829872"/>
    <n v="23.701265571829868"/>
  </r>
  <r>
    <d v="2024-03-27T00:00:00"/>
    <s v="AD001"/>
    <s v="UG Admission"/>
    <x v="1"/>
    <s v="17–21 Age"/>
    <n v="75569"/>
    <n v="3044"/>
    <n v="699"/>
    <n v="363"/>
    <n v="210"/>
    <n v="43169.18"/>
    <n v="954211.72"/>
    <s v="Pan India"/>
    <n v="1"/>
    <s v="OK"/>
    <n v="4.0281067633553445"/>
    <n v="22.963206307490143"/>
    <n v="51.931330472102999"/>
    <n v="57.851239669421481"/>
    <n v="2110.4003828657387"/>
    <n v="22.10400382865739"/>
  </r>
  <r>
    <d v="2024-03-27T00:00:00"/>
    <s v="AD004"/>
    <s v="Hackathon"/>
    <x v="0"/>
    <s v="17–21 Age"/>
    <n v="62090"/>
    <n v="3649"/>
    <n v="636"/>
    <n v="301"/>
    <n v="174"/>
    <n v="58686.75"/>
    <n v="569195.34"/>
    <s v="South India"/>
    <n v="1"/>
    <s v="OK"/>
    <n v="5.876952810436463"/>
    <n v="17.429432721293505"/>
    <n v="47.327044025157235"/>
    <n v="57.807308970099669"/>
    <n v="869.88730846400597"/>
    <n v="9.6988730846400593"/>
  </r>
  <r>
    <d v="2024-03-28T00:00:00"/>
    <s v="AD001"/>
    <s v="UG Admission"/>
    <x v="1"/>
    <s v="17–21 Age"/>
    <n v="151614"/>
    <n v="5544"/>
    <n v="1000"/>
    <n v="552"/>
    <n v="221"/>
    <n v="66293.7"/>
    <n v="838838.11"/>
    <s v="South India"/>
    <n v="1"/>
    <s v="OK"/>
    <n v="3.6566543986703075"/>
    <n v="18.037518037518037"/>
    <n v="55.2"/>
    <n v="40.036231884057969"/>
    <n v="1165.3360877428777"/>
    <n v="12.653360877428776"/>
  </r>
  <r>
    <d v="2024-03-28T00:00:00"/>
    <s v="AD004"/>
    <s v="Hackathon"/>
    <x v="0"/>
    <s v="17–21 Age"/>
    <n v="275576"/>
    <n v="19381"/>
    <n v="2993"/>
    <n v="1920"/>
    <n v="883"/>
    <n v="152033.82"/>
    <n v="2850575.87"/>
    <s v="Pan India"/>
    <n v="1"/>
    <s v="OK"/>
    <n v="7.0329056231311871"/>
    <n v="15.442959599607864"/>
    <n v="64.149682592716346"/>
    <n v="45.989583333333336"/>
    <n v="1774.9616828676672"/>
    <n v="18.749616828676672"/>
  </r>
  <r>
    <d v="2024-03-29T00:00:00"/>
    <s v="AD001"/>
    <s v="UG Admission"/>
    <x v="1"/>
    <s v="17–21 Age"/>
    <n v="128767"/>
    <n v="7454"/>
    <n v="1142"/>
    <n v="540"/>
    <n v="253"/>
    <n v="99239.26"/>
    <n v="960812.07"/>
    <s v="West India"/>
    <n v="1"/>
    <s v="OK"/>
    <n v="5.7887502232714905"/>
    <n v="15.320633217064664"/>
    <n v="47.285464098073554"/>
    <n v="46.851851851851848"/>
    <n v="868.17738262054752"/>
    <n v="9.6817738262054753"/>
  </r>
  <r>
    <d v="2024-03-29T00:00:00"/>
    <s v="AD004"/>
    <s v="Hackathon"/>
    <x v="0"/>
    <s v="25–35 Age"/>
    <n v="94022"/>
    <n v="2854"/>
    <n v="695"/>
    <n v="411"/>
    <n v="192"/>
    <n v="58116.78"/>
    <n v="1323997.7"/>
    <s v="North India"/>
    <n v="1"/>
    <s v="OK"/>
    <n v="3.0354597860075305"/>
    <n v="24.351786965662228"/>
    <n v="59.136690647482013"/>
    <n v="46.715328467153284"/>
    <n v="2178.1676823802004"/>
    <n v="22.781676823802005"/>
  </r>
  <r>
    <d v="2024-03-30T00:00:00"/>
    <s v="AD001"/>
    <s v="UG Admission"/>
    <x v="1"/>
    <s v="17–21 Age"/>
    <n v="168427"/>
    <n v="7496"/>
    <n v="1354"/>
    <n v="707"/>
    <n v="399"/>
    <n v="121004.62"/>
    <n v="2780010.07"/>
    <s v="North India"/>
    <n v="1"/>
    <s v="OK"/>
    <n v="4.450592838440393"/>
    <n v="18.062966915688367"/>
    <n v="52.215657311669126"/>
    <n v="56.435643564356432"/>
    <n v="2197.4412629864878"/>
    <n v="22.974412629864876"/>
  </r>
  <r>
    <d v="2024-03-30T00:00:00"/>
    <s v="AD004"/>
    <s v="Hackathon"/>
    <x v="0"/>
    <s v="17–21 Age"/>
    <n v="153437"/>
    <n v="5657"/>
    <n v="1049"/>
    <n v="519"/>
    <n v="211"/>
    <n v="147977.24"/>
    <n v="1161334.2"/>
    <s v="East India"/>
    <n v="1"/>
    <s v="OK"/>
    <n v="3.6868551913814787"/>
    <n v="18.543397560544459"/>
    <n v="49.475691134413729"/>
    <n v="40.655105973025044"/>
    <n v="684.80596070044294"/>
    <n v="7.8480596070044291"/>
  </r>
  <r>
    <d v="2024-03-31T00:00:00"/>
    <s v="AD001"/>
    <s v="UG Admission"/>
    <x v="1"/>
    <s v="17–21 Age"/>
    <n v="80636"/>
    <n v="5687"/>
    <n v="1072"/>
    <n v="607"/>
    <n v="344"/>
    <n v="59284.93"/>
    <n v="2288813.48"/>
    <s v="East India"/>
    <n v="1"/>
    <s v="OK"/>
    <n v="7.0526811845825685"/>
    <n v="18.850008791981711"/>
    <n v="56.623134328358205"/>
    <n v="56.672158154859964"/>
    <n v="3760.7003162523761"/>
    <n v="38.607003162523768"/>
  </r>
  <r>
    <d v="2024-03-31T00:00:00"/>
    <s v="AD004"/>
    <s v="Hackathon"/>
    <x v="0"/>
    <s v="25–35 Age"/>
    <n v="158630"/>
    <n v="4927"/>
    <n v="822"/>
    <n v="475"/>
    <n v="264"/>
    <n v="141499.38"/>
    <n v="1140875.76"/>
    <s v="East India"/>
    <n v="1"/>
    <s v="OK"/>
    <n v="3.1059698669860683"/>
    <n v="16.683580271970776"/>
    <n v="57.785888077858885"/>
    <n v="55.578947368421048"/>
    <n v="706.27615470823969"/>
    <n v="8.0627615470823972"/>
  </r>
  <r>
    <d v="2024-04-01T00:00:00"/>
    <s v="AD001"/>
    <s v="UG Admission"/>
    <x v="1"/>
    <s v="17–21 Age"/>
    <n v="186499"/>
    <n v="6536"/>
    <n v="1354"/>
    <n v="621"/>
    <n v="368"/>
    <n v="85229.02"/>
    <n v="2637713.85"/>
    <s v="West India"/>
    <n v="1"/>
    <s v="OK"/>
    <n v="3.5045764320452122"/>
    <n v="20.716034271725825"/>
    <n v="45.864106351550959"/>
    <n v="59.259259259259252"/>
    <n v="2994.8541353637529"/>
    <n v="30.948541353637527"/>
  </r>
  <r>
    <d v="2024-04-02T00:00:00"/>
    <s v="AD001"/>
    <s v="UG Admission"/>
    <x v="1"/>
    <s v="17–21 Age"/>
    <n v="280440"/>
    <n v="19647"/>
    <n v="3222"/>
    <n v="1784"/>
    <n v="885"/>
    <n v="254339"/>
    <n v="4246093.25"/>
    <s v="North India"/>
    <n v="1"/>
    <s v="OK"/>
    <n v="7.005776636713736"/>
    <n v="16.399450297755383"/>
    <n v="55.369335816263188"/>
    <n v="49.607623318385649"/>
    <n v="1569.4621155229831"/>
    <n v="16.694621155229832"/>
  </r>
  <r>
    <d v="2024-04-03T00:00:00"/>
    <s v="AD001"/>
    <s v="UG Admission"/>
    <x v="1"/>
    <s v="17–21 Age"/>
    <n v="79911"/>
    <n v="2837"/>
    <n v="458"/>
    <n v="283"/>
    <n v="153"/>
    <n v="34959.15"/>
    <n v="584662.54"/>
    <s v="South India"/>
    <n v="1"/>
    <s v="OK"/>
    <n v="3.5501995970517202"/>
    <n v="16.143813887909765"/>
    <n v="61.790393013100442"/>
    <n v="54.063604240282679"/>
    <n v="1572.4163487956657"/>
    <n v="16.724163487956659"/>
  </r>
  <r>
    <d v="2024-04-04T00:00:00"/>
    <s v="AD001"/>
    <s v="UG Admission"/>
    <x v="1"/>
    <s v="17–21 Age"/>
    <n v="274653"/>
    <n v="14146"/>
    <n v="2816"/>
    <n v="1386"/>
    <n v="561"/>
    <n v="208104.41"/>
    <n v="3892837.87"/>
    <s v="West India"/>
    <n v="1"/>
    <s v="OK"/>
    <n v="5.1504989932751508"/>
    <n v="19.906687402799378"/>
    <n v="49.21875"/>
    <n v="40.476190476190474"/>
    <n v="1770.6176721579325"/>
    <n v="18.706176721579325"/>
  </r>
  <r>
    <d v="2024-04-05T00:00:00"/>
    <s v="AD001"/>
    <s v="UG Admission"/>
    <x v="1"/>
    <s v="17–21 Age"/>
    <n v="165340"/>
    <n v="10645"/>
    <n v="1684"/>
    <n v="807"/>
    <n v="389"/>
    <n v="129203.32"/>
    <n v="3018743.31"/>
    <s v="West India"/>
    <n v="1"/>
    <s v="OK"/>
    <n v="6.4382484577234793"/>
    <n v="15.819633630812588"/>
    <n v="47.921615201900238"/>
    <n v="48.203221809169769"/>
    <n v="2236.428591773029"/>
    <n v="23.364285917730285"/>
  </r>
  <r>
    <d v="2024-04-06T00:00:00"/>
    <s v="AD001"/>
    <s v="UG Admission"/>
    <x v="1"/>
    <s v="17–21 Age"/>
    <n v="282778"/>
    <n v="15067"/>
    <n v="2772"/>
    <n v="1717"/>
    <n v="949"/>
    <n v="219848.01"/>
    <n v="5156798.93"/>
    <s v="West India"/>
    <n v="1"/>
    <s v="OK"/>
    <n v="5.3282079935497109"/>
    <n v="18.397823057012015"/>
    <n v="61.940836940836938"/>
    <n v="55.270821199767042"/>
    <n v="2245.6200172109811"/>
    <n v="23.45620017210981"/>
  </r>
  <r>
    <d v="2024-04-07T00:00:00"/>
    <s v="AD001"/>
    <s v="UG Admission"/>
    <x v="1"/>
    <s v="17–21 Age"/>
    <n v="285987"/>
    <n v="22561"/>
    <n v="5121"/>
    <n v="2466"/>
    <n v="1091"/>
    <n v="146348.42000000001"/>
    <n v="3872314.53"/>
    <s v="Pan India"/>
    <n v="1"/>
    <s v="OK"/>
    <n v="7.8888201211943203"/>
    <n v="22.698461947608706"/>
    <n v="48.154657293497365"/>
    <n v="44.241686942416869"/>
    <n v="2545.9558155803797"/>
    <n v="26.459558155803798"/>
  </r>
  <r>
    <d v="2024-04-08T00:00:00"/>
    <s v="AD001"/>
    <s v="UG Admission"/>
    <x v="1"/>
    <s v="17–21 Age"/>
    <n v="200034"/>
    <n v="14443"/>
    <n v="3338"/>
    <n v="1578"/>
    <n v="716"/>
    <n v="189341.96"/>
    <n v="5411518.9299999997"/>
    <s v="Pan India"/>
    <n v="1"/>
    <s v="OK"/>
    <n v="7.2202725536658772"/>
    <n v="23.111541923423111"/>
    <n v="47.273816656680644"/>
    <n v="45.373891001267424"/>
    <n v="2758.0663947917301"/>
    <n v="28.580663947917301"/>
  </r>
  <r>
    <d v="2024-04-09T00:00:00"/>
    <s v="AD001"/>
    <s v="UG Admission"/>
    <x v="1"/>
    <s v="17–21 Age"/>
    <n v="114098"/>
    <n v="4796"/>
    <n v="979"/>
    <n v="559"/>
    <n v="277"/>
    <n v="95244.65"/>
    <n v="1500707.12"/>
    <s v="Pan India"/>
    <n v="1"/>
    <s v="OK"/>
    <n v="4.2034040912198281"/>
    <n v="20.412844036697248"/>
    <n v="57.099080694586313"/>
    <n v="49.552772808586766"/>
    <n v="1475.63403298768"/>
    <n v="15.756340329876798"/>
  </r>
  <r>
    <d v="2024-04-10T00:00:00"/>
    <s v="AD001"/>
    <s v="UG Admission"/>
    <x v="1"/>
    <s v="17–21 Age"/>
    <n v="230730"/>
    <n v="8044"/>
    <n v="1273"/>
    <n v="591"/>
    <n v="285"/>
    <n v="100417.85"/>
    <n v="2085502.25"/>
    <s v="North India"/>
    <n v="1"/>
    <s v="OK"/>
    <n v="3.4863260087548218"/>
    <n v="15.825459970164097"/>
    <n v="46.425765907305575"/>
    <n v="48.223350253807105"/>
    <n v="1976.8242399135211"/>
    <n v="20.768242399135211"/>
  </r>
  <r>
    <d v="2024-04-11T00:00:00"/>
    <s v="AD001"/>
    <s v="UG Admission"/>
    <x v="1"/>
    <s v="17–21 Age"/>
    <n v="221570"/>
    <n v="12355"/>
    <n v="2256"/>
    <n v="1301"/>
    <n v="521"/>
    <n v="200217.89"/>
    <n v="2522440.58"/>
    <s v="Pan India"/>
    <n v="1"/>
    <s v="OK"/>
    <n v="5.5761159001669895"/>
    <n v="18.259813840550386"/>
    <n v="57.668439716312058"/>
    <n v="40.046118370484237"/>
    <n v="1159.8477488699934"/>
    <n v="12.598477488699935"/>
  </r>
  <r>
    <d v="2024-04-12T00:00:00"/>
    <s v="AD001"/>
    <s v="UG Admission"/>
    <x v="1"/>
    <s v="17–21 Age"/>
    <n v="241871"/>
    <n v="18824"/>
    <n v="3533"/>
    <n v="2181"/>
    <n v="917"/>
    <n v="126584.31"/>
    <n v="7087676.71"/>
    <s v="South India"/>
    <n v="1"/>
    <s v="OK"/>
    <n v="7.7826610052465979"/>
    <n v="18.768593285167871"/>
    <n v="61.732238890461367"/>
    <n v="42.044933516735448"/>
    <n v="5499.1747397446015"/>
    <n v="55.991747397446019"/>
  </r>
  <r>
    <d v="2024-04-13T00:00:00"/>
    <s v="AD001"/>
    <s v="UG Admission"/>
    <x v="1"/>
    <s v="17–21 Age"/>
    <n v="288853"/>
    <n v="12032"/>
    <n v="2732"/>
    <n v="1717"/>
    <n v="785"/>
    <n v="202094.55"/>
    <n v="2398171.83"/>
    <s v="East India"/>
    <n v="1"/>
    <s v="OK"/>
    <n v="4.1654405528071372"/>
    <n v="22.706117021276594"/>
    <n v="62.847730600292827"/>
    <n v="45.71927781013396"/>
    <n v="1086.6583388814793"/>
    <n v="11.86658338881479"/>
  </r>
  <r>
    <d v="2024-04-14T00:00:00"/>
    <s v="AD001"/>
    <s v="UG Admission"/>
    <x v="1"/>
    <s v="17–21 Age"/>
    <n v="213540"/>
    <n v="14462"/>
    <n v="3456"/>
    <n v="1678"/>
    <n v="696"/>
    <n v="108897.67"/>
    <n v="3431908.04"/>
    <s v="West India"/>
    <n v="1"/>
    <s v="OK"/>
    <n v="6.7725016390371833"/>
    <n v="23.897109666712765"/>
    <n v="48.55324074074074"/>
    <n v="41.477949940405246"/>
    <n v="3051.4981358187006"/>
    <n v="31.514981358187004"/>
  </r>
  <r>
    <d v="2024-04-15T00:00:00"/>
    <s v="AD001"/>
    <s v="UG Admission"/>
    <x v="1"/>
    <s v="17–21 Age"/>
    <n v="72233"/>
    <n v="3762"/>
    <n v="590"/>
    <n v="318"/>
    <n v="184"/>
    <n v="57707.1"/>
    <n v="1314021.3700000001"/>
    <s v="West India"/>
    <n v="1"/>
    <s v="OK"/>
    <n v="5.2081458613099274"/>
    <n v="15.683147262094629"/>
    <n v="53.898305084745765"/>
    <n v="57.861635220125784"/>
    <n v="2177.0532048915993"/>
    <n v="22.770532048915992"/>
  </r>
  <r>
    <d v="2024-04-16T00:00:00"/>
    <s v="AD001"/>
    <s v="UG Admission"/>
    <x v="1"/>
    <s v="17–21 Age"/>
    <n v="167205"/>
    <n v="5074"/>
    <n v="1208"/>
    <n v="604"/>
    <n v="322"/>
    <n v="115667.4"/>
    <n v="2387204.39"/>
    <s v="West India"/>
    <n v="1"/>
    <s v="OK"/>
    <n v="3.0345982476600577"/>
    <n v="23.807646826960976"/>
    <n v="50"/>
    <n v="53.311258278145687"/>
    <n v="1963.8523819157347"/>
    <n v="20.638523819157346"/>
  </r>
  <r>
    <d v="2024-04-17T00:00:00"/>
    <s v="AD001"/>
    <s v="UG Admission"/>
    <x v="1"/>
    <s v="17–21 Age"/>
    <n v="234584"/>
    <n v="15677"/>
    <n v="3010"/>
    <n v="1913"/>
    <n v="842"/>
    <n v="190234.63"/>
    <n v="4025666.51"/>
    <s v="West India"/>
    <n v="1"/>
    <s v="OK"/>
    <n v="6.6828939740135738"/>
    <n v="19.200102060343177"/>
    <n v="63.55481727574751"/>
    <n v="44.014636696288548"/>
    <n v="2016.1586142333811"/>
    <n v="21.16158614233381"/>
  </r>
  <r>
    <d v="2024-04-18T00:00:00"/>
    <s v="AD001"/>
    <s v="UG Admission"/>
    <x v="1"/>
    <s v="17–21 Age"/>
    <n v="50267"/>
    <n v="3518"/>
    <n v="817"/>
    <n v="515"/>
    <n v="226"/>
    <n v="39781.589999999997"/>
    <n v="893338.11"/>
    <s v="West India"/>
    <n v="1"/>
    <s v="OK"/>
    <n v="6.9986273300574924"/>
    <n v="23.223422399090392"/>
    <n v="63.035495716034276"/>
    <n v="43.883495145631066"/>
    <n v="2145.6068498016298"/>
    <n v="22.456068498016297"/>
  </r>
  <r>
    <d v="2024-04-19T00:00:00"/>
    <s v="AD001"/>
    <s v="UG Admission"/>
    <x v="1"/>
    <s v="17–21 Age"/>
    <n v="147737"/>
    <n v="9789"/>
    <n v="2427"/>
    <n v="1461"/>
    <n v="710"/>
    <n v="115882.02"/>
    <n v="4999994.7699999996"/>
    <s v="South India"/>
    <n v="1"/>
    <s v="OK"/>
    <n v="6.62596370577445"/>
    <n v="24.793135151700888"/>
    <n v="60.197775030902342"/>
    <n v="48.596851471594796"/>
    <n v="4214.7286956164553"/>
    <n v="43.14728695616455"/>
  </r>
  <r>
    <d v="2024-04-20T00:00:00"/>
    <s v="AD001"/>
    <s v="UG Admission"/>
    <x v="1"/>
    <s v="17–21 Age"/>
    <n v="103945"/>
    <n v="5827"/>
    <n v="1089"/>
    <n v="686"/>
    <n v="290"/>
    <n v="45623.839999999997"/>
    <n v="1291459.42"/>
    <s v="South India"/>
    <n v="1"/>
    <s v="OK"/>
    <n v="5.6058492471980372"/>
    <n v="18.688862193238371"/>
    <n v="62.993572084481173"/>
    <n v="42.274052478134109"/>
    <n v="2730.6679578045159"/>
    <n v="28.306679578045163"/>
  </r>
  <r>
    <d v="2024-04-21T00:00:00"/>
    <s v="AD001"/>
    <s v="UG Admission"/>
    <x v="1"/>
    <s v="17–21 Age"/>
    <n v="180309"/>
    <n v="13125"/>
    <n v="2445"/>
    <n v="1328"/>
    <n v="595"/>
    <n v="107078.07"/>
    <n v="4718406.5599999996"/>
    <s v="South India"/>
    <n v="1"/>
    <s v="OK"/>
    <n v="7.2791707568673774"/>
    <n v="18.628571428571426"/>
    <n v="54.314928425357877"/>
    <n v="44.804216867469883"/>
    <n v="4306.5106515274319"/>
    <n v="44.065106515274316"/>
  </r>
  <r>
    <d v="2024-04-22T00:00:00"/>
    <s v="AD001"/>
    <s v="UG Admission"/>
    <x v="1"/>
    <s v="17–21 Age"/>
    <n v="165998"/>
    <n v="7203"/>
    <n v="1295"/>
    <n v="834"/>
    <n v="489"/>
    <n v="155076.26999999999"/>
    <n v="3804206.8"/>
    <s v="South India"/>
    <n v="1"/>
    <s v="OK"/>
    <n v="4.3392089061313994"/>
    <n v="17.978620019436345"/>
    <n v="64.401544401544399"/>
    <n v="58.633093525179859"/>
    <n v="2353.1198744978842"/>
    <n v="24.531198744978841"/>
  </r>
  <r>
    <d v="2024-04-23T00:00:00"/>
    <s v="AD001"/>
    <s v="UG Admission"/>
    <x v="1"/>
    <s v="17–21 Age"/>
    <n v="204547"/>
    <n v="9363"/>
    <n v="1756"/>
    <n v="1126"/>
    <n v="509"/>
    <n v="150706.37"/>
    <n v="2219931.4900000002"/>
    <s v="Pan India"/>
    <n v="1"/>
    <s v="OK"/>
    <n v="4.5774320816242717"/>
    <n v="18.754672647655664"/>
    <n v="64.123006833712978"/>
    <n v="45.204262877442275"/>
    <n v="1373.0176899622757"/>
    <n v="14.730176899622759"/>
  </r>
  <r>
    <d v="2024-04-24T00:00:00"/>
    <s v="AD001"/>
    <s v="UG Admission"/>
    <x v="1"/>
    <s v="17–21 Age"/>
    <n v="124784"/>
    <n v="7174"/>
    <n v="1288"/>
    <n v="783"/>
    <n v="351"/>
    <n v="103744.92"/>
    <n v="1765941.04"/>
    <s v="Pan India"/>
    <n v="1"/>
    <s v="OK"/>
    <n v="5.7491345044236439"/>
    <n v="17.953721773069418"/>
    <n v="60.791925465838517"/>
    <n v="44.827586206896555"/>
    <n v="1602.1951918224045"/>
    <n v="17.021951918224044"/>
  </r>
  <r>
    <d v="2024-04-25T00:00:00"/>
    <s v="AD001"/>
    <s v="UG Admission"/>
    <x v="1"/>
    <s v="17–21 Age"/>
    <n v="132967"/>
    <n v="10361"/>
    <n v="1745"/>
    <n v="990"/>
    <n v="467"/>
    <n v="65512.99"/>
    <n v="1832026.4"/>
    <s v="Pan India"/>
    <n v="1"/>
    <s v="OK"/>
    <n v="7.7921589567336262"/>
    <n v="16.842003667599652"/>
    <n v="56.733524355300858"/>
    <n v="47.171717171717169"/>
    <n v="2696.432280071479"/>
    <n v="27.96432280071479"/>
  </r>
  <r>
    <d v="2024-04-26T00:00:00"/>
    <s v="AD001"/>
    <s v="UG Admission"/>
    <x v="1"/>
    <s v="17–21 Age"/>
    <n v="260506"/>
    <n v="13356"/>
    <n v="3163"/>
    <n v="1998"/>
    <n v="854"/>
    <n v="256268.15"/>
    <n v="4686283.68"/>
    <s v="West India"/>
    <n v="1"/>
    <s v="OK"/>
    <n v="5.126945252700513"/>
    <n v="23.682240191674154"/>
    <n v="63.167878596269368"/>
    <n v="42.742742742742749"/>
    <n v="1728.6641082787696"/>
    <n v="18.286641082787696"/>
  </r>
  <r>
    <d v="2024-04-27T00:00:00"/>
    <s v="AD001"/>
    <s v="UG Admission"/>
    <x v="1"/>
    <s v="17–21 Age"/>
    <n v="229208"/>
    <n v="9355"/>
    <n v="2081"/>
    <n v="1043"/>
    <n v="469"/>
    <n v="178259.19"/>
    <n v="2674523.87"/>
    <s v="Pan India"/>
    <n v="1"/>
    <s v="OK"/>
    <n v="4.0814456737984717"/>
    <n v="22.244788882950296"/>
    <n v="50.120134550696783"/>
    <n v="44.966442953020135"/>
    <n v="1400.3567950690228"/>
    <n v="15.003567950690229"/>
  </r>
  <r>
    <d v="2024-04-28T00:00:00"/>
    <s v="AD001"/>
    <s v="UG Admission"/>
    <x v="1"/>
    <s v="17–21 Age"/>
    <n v="171241"/>
    <n v="7348"/>
    <n v="1294"/>
    <n v="719"/>
    <n v="302"/>
    <n v="85665.34"/>
    <n v="1939708.81"/>
    <s v="West India"/>
    <n v="1"/>
    <s v="OK"/>
    <n v="4.2910284336111095"/>
    <n v="17.610234077299946"/>
    <n v="55.564142194744981"/>
    <n v="42.002781641168291"/>
    <n v="2164.2865947885111"/>
    <n v="22.64286594788511"/>
  </r>
  <r>
    <d v="2024-04-29T00:00:00"/>
    <s v="AD001"/>
    <s v="UG Admission"/>
    <x v="1"/>
    <s v="17–21 Age"/>
    <n v="161956"/>
    <n v="10797"/>
    <n v="1786"/>
    <n v="1036"/>
    <n v="542"/>
    <n v="150183.85999999999"/>
    <n v="2235498.12"/>
    <s v="East India"/>
    <n v="1"/>
    <s v="OK"/>
    <n v="6.6666255032230977"/>
    <n v="16.541631934796701"/>
    <n v="58.006718924971999"/>
    <n v="52.316602316602314"/>
    <n v="1388.5075666586281"/>
    <n v="14.885075666586278"/>
  </r>
  <r>
    <d v="2024-04-30T00:00:00"/>
    <s v="AD001"/>
    <s v="UG Admission"/>
    <x v="1"/>
    <s v="17–21 Age"/>
    <n v="61492"/>
    <n v="4436"/>
    <n v="909"/>
    <n v="457"/>
    <n v="244"/>
    <n v="50083.82"/>
    <n v="751942.31"/>
    <s v="West India"/>
    <n v="1"/>
    <s v="OK"/>
    <n v="7.2139465296298706"/>
    <n v="20.491433724075744"/>
    <n v="50.275027502750277"/>
    <n v="53.391684901531733"/>
    <n v="1401.3677271422191"/>
    <n v="15.013677271422189"/>
  </r>
  <r>
    <d v="2024-05-01T00:00:00"/>
    <s v="AD001"/>
    <s v="UG Admission"/>
    <x v="1"/>
    <s v="17–21 Age"/>
    <n v="203882"/>
    <n v="9925"/>
    <n v="2110"/>
    <n v="963"/>
    <n v="504"/>
    <n v="181726.55"/>
    <n v="3279195.9"/>
    <s v="South India"/>
    <n v="1"/>
    <s v="OK"/>
    <n v="4.8680118892300452"/>
    <n v="21.259445843828715"/>
    <n v="45.639810426540286"/>
    <n v="52.336448598130836"/>
    <n v="1704.4671513325929"/>
    <n v="18.04467151332593"/>
  </r>
  <r>
    <d v="2024-05-02T00:00:00"/>
    <s v="AD001"/>
    <s v="UG Admission"/>
    <x v="1"/>
    <s v="17–21 Age"/>
    <n v="52572"/>
    <n v="2746"/>
    <n v="633"/>
    <n v="286"/>
    <n v="115"/>
    <n v="31495.18"/>
    <n v="721471.98"/>
    <s v="West India"/>
    <n v="1"/>
    <s v="OK"/>
    <n v="5.2233127900783689"/>
    <n v="23.051711580480699"/>
    <n v="45.181674565560819"/>
    <n v="40.209790209790206"/>
    <n v="2190.7377573330264"/>
    <n v="22.907377573330269"/>
  </r>
  <r>
    <d v="2024-05-03T00:00:00"/>
    <s v="AD001"/>
    <s v="UG Admission"/>
    <x v="1"/>
    <s v="17–21 Age"/>
    <n v="182398"/>
    <n v="9821"/>
    <n v="2358"/>
    <n v="1144"/>
    <n v="659"/>
    <n v="117138.56"/>
    <n v="4142036.47"/>
    <s v="Pan India"/>
    <n v="1"/>
    <s v="OK"/>
    <n v="5.3843792146843716"/>
    <n v="24.00977497199878"/>
    <n v="48.51569126378287"/>
    <n v="57.604895104895107"/>
    <n v="3436.0145028246889"/>
    <n v="35.36014502824689"/>
  </r>
  <r>
    <d v="2024-05-04T00:00:00"/>
    <s v="AD001"/>
    <s v="UG Admission"/>
    <x v="1"/>
    <s v="17–21 Age"/>
    <n v="291292"/>
    <n v="19445"/>
    <n v="3115"/>
    <n v="1736"/>
    <n v="1028"/>
    <n v="264152.71999999997"/>
    <n v="6279650.6100000003"/>
    <s v="South India"/>
    <n v="1"/>
    <s v="OK"/>
    <n v="6.6754322123504934"/>
    <n v="16.019542298791464"/>
    <n v="55.730337078651679"/>
    <n v="59.21658986175116"/>
    <n v="2277.2803134489782"/>
    <n v="23.772803134489781"/>
  </r>
  <r>
    <d v="2024-05-05T00:00:00"/>
    <s v="AD001"/>
    <s v="UG Admission"/>
    <x v="1"/>
    <s v="17–21 Age"/>
    <n v="209896"/>
    <n v="11020"/>
    <n v="2016"/>
    <n v="1282"/>
    <n v="676"/>
    <n v="134786.32"/>
    <n v="5166291.92"/>
    <s v="West India"/>
    <n v="1"/>
    <s v="OK"/>
    <n v="5.2502191561535234"/>
    <n v="18.294010889292196"/>
    <n v="63.591269841269835"/>
    <n v="52.730109204368169"/>
    <n v="3732.9497533577587"/>
    <n v="38.329497533577587"/>
  </r>
  <r>
    <d v="2024-05-06T00:00:00"/>
    <s v="AD001"/>
    <s v="UG Admission"/>
    <x v="1"/>
    <s v="17–21 Age"/>
    <n v="212729"/>
    <n v="11086"/>
    <n v="2540"/>
    <n v="1442"/>
    <n v="785"/>
    <n v="148219.13"/>
    <n v="2403528.2200000002"/>
    <s v="Pan India"/>
    <n v="1"/>
    <s v="OK"/>
    <n v="5.211325207188489"/>
    <n v="22.911780624210717"/>
    <n v="56.771653543307089"/>
    <n v="54.438280166435504"/>
    <n v="1521.6045931452979"/>
    <n v="16.216045931452978"/>
  </r>
  <r>
    <d v="2024-05-07T00:00:00"/>
    <s v="AD001"/>
    <s v="UG Admission"/>
    <x v="1"/>
    <s v="17–21 Age"/>
    <n v="53575"/>
    <n v="1779"/>
    <n v="383"/>
    <n v="198"/>
    <n v="83"/>
    <n v="31495.13"/>
    <n v="562987.04"/>
    <s v="South India"/>
    <n v="1"/>
    <s v="OK"/>
    <n v="3.3205786280914604"/>
    <n v="21.52894884766723"/>
    <n v="51.697127937336816"/>
    <n v="41.919191919191917"/>
    <n v="1687.5368033089562"/>
    <n v="17.875368033089561"/>
  </r>
  <r>
    <d v="2024-05-08T00:00:00"/>
    <s v="AD001"/>
    <s v="UG Admission"/>
    <x v="1"/>
    <s v="17–21 Age"/>
    <n v="77717"/>
    <n v="5458"/>
    <n v="1240"/>
    <n v="600"/>
    <n v="252"/>
    <n v="39733.879999999997"/>
    <n v="1374432.65"/>
    <s v="North India"/>
    <n v="1"/>
    <s v="OK"/>
    <n v="7.0229164790200347"/>
    <n v="22.718944668376693"/>
    <n v="48.387096774193552"/>
    <n v="42"/>
    <n v="3359.0949839280738"/>
    <n v="34.590949839280732"/>
  </r>
  <r>
    <d v="2024-05-09T00:00:00"/>
    <s v="AD001"/>
    <s v="UG Admission"/>
    <x v="1"/>
    <s v="17–21 Age"/>
    <n v="254812"/>
    <n v="8231"/>
    <n v="1789"/>
    <n v="905"/>
    <n v="508"/>
    <n v="214463"/>
    <n v="3712872.07"/>
    <s v="Pan India"/>
    <n v="1"/>
    <s v="OK"/>
    <n v="3.2302246362023763"/>
    <n v="21.734904628842184"/>
    <n v="50.586920067076576"/>
    <n v="56.132596685082866"/>
    <n v="1631.2413190154011"/>
    <n v="17.312413190154011"/>
  </r>
  <r>
    <d v="2024-05-10T00:00:00"/>
    <s v="AD001"/>
    <s v="UG Admission"/>
    <x v="1"/>
    <s v="17–21 Age"/>
    <n v="159338"/>
    <n v="8621"/>
    <n v="1987"/>
    <n v="1010"/>
    <n v="560"/>
    <n v="121166.88"/>
    <n v="2837406.55"/>
    <s v="Pan India"/>
    <n v="1"/>
    <s v="OK"/>
    <n v="5.4105109892178893"/>
    <n v="23.04837025867069"/>
    <n v="50.830397584297934"/>
    <n v="55.445544554455452"/>
    <n v="2241.7344327096644"/>
    <n v="23.417344327096643"/>
  </r>
  <r>
    <d v="2024-05-11T00:00:00"/>
    <s v="AD001"/>
    <s v="UG Admission"/>
    <x v="1"/>
    <s v="17–21 Age"/>
    <n v="107691"/>
    <n v="5395"/>
    <n v="912"/>
    <n v="434"/>
    <n v="235"/>
    <n v="50972.7"/>
    <n v="1299358.1000000001"/>
    <s v="North India"/>
    <n v="1"/>
    <s v="OK"/>
    <n v="5.0097036892590836"/>
    <n v="16.904541241890637"/>
    <n v="47.587719298245609"/>
    <n v="54.147465437788021"/>
    <n v="2449.1255122840266"/>
    <n v="25.491255122840268"/>
  </r>
  <r>
    <d v="2024-05-12T00:00:00"/>
    <s v="AD001"/>
    <s v="UG Admission"/>
    <x v="1"/>
    <s v="17–21 Age"/>
    <n v="150217"/>
    <n v="9087"/>
    <n v="1717"/>
    <n v="921"/>
    <n v="420"/>
    <n v="84200.07"/>
    <n v="2218829.9500000002"/>
    <s v="North India"/>
    <n v="1"/>
    <s v="OK"/>
    <n v="6.0492487534699801"/>
    <n v="18.895124903708592"/>
    <n v="53.640069889341881"/>
    <n v="45.602605863192181"/>
    <n v="2535.1877735968633"/>
    <n v="26.351877735968628"/>
  </r>
  <r>
    <d v="2024-05-13T00:00:00"/>
    <s v="AD001"/>
    <s v="UG Admission"/>
    <x v="1"/>
    <s v="17–21 Age"/>
    <n v="227093"/>
    <n v="11820"/>
    <n v="2504"/>
    <n v="1225"/>
    <n v="522"/>
    <n v="192460.38"/>
    <n v="2362547.8199999998"/>
    <s v="North India"/>
    <n v="1"/>
    <s v="OK"/>
    <n v="5.2049160476104497"/>
    <n v="21.184433164128595"/>
    <n v="48.921725239616613"/>
    <n v="42.612244897959187"/>
    <n v="1127.5502209857425"/>
    <n v="12.275502209857425"/>
  </r>
  <r>
    <d v="2024-05-14T00:00:00"/>
    <s v="AD001"/>
    <s v="UG Admission"/>
    <x v="1"/>
    <s v="17–21 Age"/>
    <n v="212823"/>
    <n v="12602"/>
    <n v="1904"/>
    <n v="1005"/>
    <n v="425"/>
    <n v="107267.35"/>
    <n v="1912334.83"/>
    <s v="West India"/>
    <n v="1"/>
    <s v="OK"/>
    <n v="5.921352485398665"/>
    <n v="15.108712902713856"/>
    <n v="52.783613445378151"/>
    <n v="42.288557213930353"/>
    <n v="1682.7743763596284"/>
    <n v="17.827743763596285"/>
  </r>
  <r>
    <d v="2024-05-15T00:00:00"/>
    <s v="AD001"/>
    <s v="UG Admission"/>
    <x v="1"/>
    <s v="17–21 Age"/>
    <n v="129087"/>
    <n v="4033"/>
    <n v="640"/>
    <n v="346"/>
    <n v="198"/>
    <n v="101205.53"/>
    <n v="1581964.16"/>
    <s v="West India"/>
    <n v="1"/>
    <s v="OK"/>
    <n v="3.124249537133871"/>
    <n v="15.869080089263576"/>
    <n v="54.0625"/>
    <n v="57.225433526011557"/>
    <n v="1463.1202761351083"/>
    <n v="15.631202761351084"/>
  </r>
  <r>
    <d v="2024-05-16T00:00:00"/>
    <s v="AD001"/>
    <s v="UG Admission"/>
    <x v="1"/>
    <s v="17–21 Age"/>
    <n v="95904"/>
    <n v="4183"/>
    <n v="667"/>
    <n v="322"/>
    <n v="147"/>
    <n v="66125.77"/>
    <n v="751735"/>
    <s v="North India"/>
    <n v="1"/>
    <s v="OK"/>
    <n v="4.3616533199866536"/>
    <n v="15.945493664833851"/>
    <n v="48.275862068965516"/>
    <n v="45.652173913043477"/>
    <n v="1036.8260815715264"/>
    <n v="11.368260815715264"/>
  </r>
  <r>
    <d v="2024-05-17T00:00:00"/>
    <s v="AD001"/>
    <s v="UG Admission"/>
    <x v="1"/>
    <s v="17–21 Age"/>
    <n v="135876"/>
    <n v="8214"/>
    <n v="1729"/>
    <n v="909"/>
    <n v="441"/>
    <n v="85485.01"/>
    <n v="2700293.92"/>
    <s v="Pan India"/>
    <n v="1"/>
    <s v="OK"/>
    <n v="6.0452176984897994"/>
    <n v="21.049427806184561"/>
    <n v="52.573742047426251"/>
    <n v="48.514851485148512"/>
    <n v="3058.7923075636304"/>
    <n v="31.587923075636304"/>
  </r>
  <r>
    <d v="2024-05-18T00:00:00"/>
    <s v="AD001"/>
    <s v="UG Admission"/>
    <x v="1"/>
    <s v="17–21 Age"/>
    <n v="280625"/>
    <n v="14687"/>
    <n v="2934"/>
    <n v="1372"/>
    <n v="655"/>
    <n v="191298.55"/>
    <n v="3980786.43"/>
    <s v="Pan India"/>
    <n v="1"/>
    <s v="OK"/>
    <n v="5.2336748329621381"/>
    <n v="19.976850275754067"/>
    <n v="46.762099522835719"/>
    <n v="47.740524781341108"/>
    <n v="1980.9287001914026"/>
    <n v="20.809287001914026"/>
  </r>
  <r>
    <d v="2024-05-19T00:00:00"/>
    <s v="AD001"/>
    <s v="UG Admission"/>
    <x v="1"/>
    <s v="17–21 Age"/>
    <n v="99328"/>
    <n v="5165"/>
    <n v="1149"/>
    <n v="717"/>
    <n v="314"/>
    <n v="59406.59"/>
    <n v="1218839.81"/>
    <s v="Pan India"/>
    <n v="1"/>
    <s v="OK"/>
    <n v="5.1999436211340209"/>
    <n v="22.245885769603095"/>
    <n v="62.402088772845957"/>
    <n v="43.793584379358435"/>
    <n v="1951.6912517617995"/>
    <n v="20.516912517617996"/>
  </r>
  <r>
    <d v="2024-05-20T00:00:00"/>
    <s v="AD001"/>
    <s v="UG Admission"/>
    <x v="1"/>
    <s v="17–21 Age"/>
    <n v="144094"/>
    <n v="11075"/>
    <n v="2057"/>
    <n v="1117"/>
    <n v="577"/>
    <n v="118500.5"/>
    <n v="3178344.45"/>
    <s v="North India"/>
    <n v="1"/>
    <s v="OK"/>
    <n v="7.6859550015961799"/>
    <n v="18.57336343115124"/>
    <n v="54.302382109868738"/>
    <n v="51.656222023276634"/>
    <n v="2582.1358981607673"/>
    <n v="26.821358981607673"/>
  </r>
  <r>
    <d v="2024-05-21T00:00:00"/>
    <s v="AD001"/>
    <s v="UG Admission"/>
    <x v="1"/>
    <s v="17–21 Age"/>
    <n v="257103"/>
    <n v="13993"/>
    <n v="3038"/>
    <n v="1674"/>
    <n v="939"/>
    <n v="151753.51"/>
    <n v="5715057.0800000001"/>
    <s v="South India"/>
    <n v="1"/>
    <s v="OK"/>
    <n v="5.4425658199243099"/>
    <n v="21.710855427713856"/>
    <n v="55.102040816326522"/>
    <n v="56.093189964157709"/>
    <n v="3666.0131090213335"/>
    <n v="37.660131090213333"/>
  </r>
  <r>
    <d v="2024-05-22T00:00:00"/>
    <s v="AD001"/>
    <s v="UG Admission"/>
    <x v="1"/>
    <s v="17–21 Age"/>
    <n v="209828"/>
    <n v="14119"/>
    <n v="2701"/>
    <n v="1585"/>
    <n v="667"/>
    <n v="164161.53"/>
    <n v="3749676.3"/>
    <s v="North India"/>
    <n v="1"/>
    <s v="OK"/>
    <n v="6.7288445774634456"/>
    <n v="19.130250017706636"/>
    <n v="58.681969640873753"/>
    <n v="42.0820189274448"/>
    <n v="2184.1382509044602"/>
    <n v="22.841382509044596"/>
  </r>
  <r>
    <d v="2024-05-23T00:00:00"/>
    <s v="AD001"/>
    <s v="UG Admission"/>
    <x v="1"/>
    <s v="17–21 Age"/>
    <n v="218859"/>
    <n v="11905"/>
    <n v="1854"/>
    <n v="941"/>
    <n v="482"/>
    <n v="120754.52"/>
    <n v="1563740.44"/>
    <s v="East India"/>
    <n v="1"/>
    <s v="OK"/>
    <n v="5.4395752516460369"/>
    <n v="15.573288534229315"/>
    <n v="50.755124056094928"/>
    <n v="51.222104144527101"/>
    <n v="1194.9746643024212"/>
    <n v="12.949746643024211"/>
  </r>
  <r>
    <d v="2024-05-24T00:00:00"/>
    <s v="AD001"/>
    <s v="UG Admission"/>
    <x v="1"/>
    <s v="17–21 Age"/>
    <n v="210510"/>
    <n v="12742"/>
    <n v="2399"/>
    <n v="1408"/>
    <n v="810"/>
    <n v="182684.18"/>
    <n v="6159533.6299999999"/>
    <s v="West India"/>
    <n v="1"/>
    <s v="OK"/>
    <n v="6.0529191012303452"/>
    <n v="18.827499607596923"/>
    <n v="58.691121300541894"/>
    <n v="57.528409090909093"/>
    <n v="3271.6841983799582"/>
    <n v="33.716841983799583"/>
  </r>
  <r>
    <d v="2024-05-25T00:00:00"/>
    <s v="AD001"/>
    <s v="UG Admission"/>
    <x v="1"/>
    <s v="17–21 Age"/>
    <n v="112134"/>
    <n v="3488"/>
    <n v="542"/>
    <n v="286"/>
    <n v="159"/>
    <n v="76411.33"/>
    <n v="520844.26"/>
    <s v="North India"/>
    <n v="1"/>
    <s v="OK"/>
    <n v="3.110564146467619"/>
    <n v="15.538990825688073"/>
    <n v="52.767527675276746"/>
    <n v="55.594405594405593"/>
    <n v="581.63223961682115"/>
    <n v="6.8163223961682124"/>
  </r>
  <r>
    <d v="2024-05-26T00:00:00"/>
    <s v="AD001"/>
    <s v="UG Admission"/>
    <x v="1"/>
    <s v="17–21 Age"/>
    <n v="167323"/>
    <n v="6870"/>
    <n v="1386"/>
    <n v="656"/>
    <n v="339"/>
    <n v="154889.76"/>
    <n v="2689431.95"/>
    <s v="West India"/>
    <n v="1"/>
    <s v="OK"/>
    <n v="4.1058312365903067"/>
    <n v="20.174672489082969"/>
    <n v="47.330447330447328"/>
    <n v="51.676829268292678"/>
    <n v="1636.3523256798903"/>
    <n v="17.363523256798899"/>
  </r>
  <r>
    <d v="2024-05-27T00:00:00"/>
    <s v="AD001"/>
    <s v="UG Admission"/>
    <x v="1"/>
    <s v="17–21 Age"/>
    <n v="71573"/>
    <n v="3385"/>
    <n v="572"/>
    <n v="368"/>
    <n v="169"/>
    <n v="37172.300000000003"/>
    <n v="1300602.6299999999"/>
    <s v="South India"/>
    <n v="1"/>
    <s v="OK"/>
    <n v="4.7294370782278232"/>
    <n v="16.898079763663219"/>
    <n v="64.335664335664333"/>
    <n v="45.923913043478258"/>
    <n v="3398.8489547324207"/>
    <n v="34.988489547324214"/>
  </r>
  <r>
    <d v="2024-05-28T00:00:00"/>
    <s v="AD001"/>
    <s v="UG Admission"/>
    <x v="1"/>
    <s v="17–21 Age"/>
    <n v="157823"/>
    <n v="9513"/>
    <n v="2121"/>
    <n v="1051"/>
    <n v="506"/>
    <n v="109850.41"/>
    <n v="3668863.75"/>
    <s v="South India"/>
    <n v="1"/>
    <s v="OK"/>
    <n v="6.0276385571177835"/>
    <n v="22.29580573951435"/>
    <n v="49.552098066949554"/>
    <n v="48.144624167459561"/>
    <n v="3239.8726049361121"/>
    <n v="33.398726049361123"/>
  </r>
  <r>
    <d v="2024-05-29T00:00:00"/>
    <s v="AD001"/>
    <s v="UG Admission"/>
    <x v="1"/>
    <s v="17–21 Age"/>
    <n v="170857"/>
    <n v="13220"/>
    <n v="2821"/>
    <n v="1398"/>
    <n v="619"/>
    <n v="96132.33"/>
    <n v="4551261.95"/>
    <s v="North India"/>
    <n v="1"/>
    <s v="OK"/>
    <n v="7.7374646634319939"/>
    <n v="21.338880484114977"/>
    <n v="49.556894718185042"/>
    <n v="44.27753934191702"/>
    <n v="4634.3718289154122"/>
    <n v="47.343718289154126"/>
  </r>
  <r>
    <d v="2024-05-30T00:00:00"/>
    <s v="AD001"/>
    <s v="UG Admission"/>
    <x v="1"/>
    <s v="17–21 Age"/>
    <n v="286098"/>
    <n v="8605"/>
    <n v="1496"/>
    <n v="757"/>
    <n v="307"/>
    <n v="284695.90999999997"/>
    <n v="2297719.94"/>
    <s v="North India"/>
    <n v="1"/>
    <s v="OK"/>
    <n v="3.0077106446042965"/>
    <n v="17.385241138872747"/>
    <n v="50.601604278074866"/>
    <n v="40.554821664464995"/>
    <n v="707.07866157964827"/>
    <n v="8.070786615796484"/>
  </r>
  <r>
    <d v="2024-05-31T00:00:00"/>
    <s v="AD001"/>
    <s v="UG Admission"/>
    <x v="1"/>
    <s v="17–21 Age"/>
    <n v="179655"/>
    <n v="7512"/>
    <n v="1329"/>
    <n v="827"/>
    <n v="420"/>
    <n v="177940.53"/>
    <n v="2774452.44"/>
    <s v="South India"/>
    <n v="1"/>
    <s v="OK"/>
    <n v="4.1813475828671622"/>
    <n v="17.691693290734825"/>
    <n v="62.227238525206921"/>
    <n v="50.785973397823462"/>
    <n v="1459.2020772333319"/>
    <n v="15.592020772333319"/>
  </r>
  <r>
    <d v="2024-06-01T00:00:00"/>
    <s v="AD001"/>
    <s v="UG Admission"/>
    <x v="1"/>
    <s v="17–21 Age"/>
    <n v="200920"/>
    <n v="10462"/>
    <n v="2244"/>
    <n v="1338"/>
    <n v="750"/>
    <n v="142412.10999999999"/>
    <n v="4242470.3600000003"/>
    <s v="West India"/>
    <n v="1"/>
    <s v="OK"/>
    <n v="5.2070475811268171"/>
    <n v="21.449053718218313"/>
    <n v="59.625668449197867"/>
    <n v="56.053811659192817"/>
    <n v="2879.0095519264482"/>
    <n v="29.790095519264483"/>
  </r>
  <r>
    <d v="2024-06-02T00:00:00"/>
    <s v="AD001"/>
    <s v="UG Admission"/>
    <x v="1"/>
    <s v="17–21 Age"/>
    <n v="277733"/>
    <n v="19722"/>
    <n v="3356"/>
    <n v="1999"/>
    <n v="1087"/>
    <n v="267369.15000000002"/>
    <n v="6633449.5"/>
    <s v="East India"/>
    <n v="1"/>
    <s v="OK"/>
    <n v="7.1010646916282907"/>
    <n v="17.016529763715649"/>
    <n v="59.564958283671032"/>
    <n v="54.377188594297145"/>
    <n v="2381.0078126066524"/>
    <n v="24.810078126066525"/>
  </r>
  <r>
    <d v="2024-06-03T00:00:00"/>
    <s v="AD001"/>
    <s v="UG Admission"/>
    <x v="1"/>
    <s v="17–21 Age"/>
    <n v="163525"/>
    <n v="6314"/>
    <n v="1573"/>
    <n v="794"/>
    <n v="445"/>
    <n v="161244.1"/>
    <n v="2892185.32"/>
    <s v="East India"/>
    <n v="1"/>
    <s v="OK"/>
    <n v="3.8611833053049995"/>
    <n v="24.912891986062718"/>
    <n v="50.476795931341393"/>
    <n v="56.045340050377831"/>
    <n v="1693.668928041398"/>
    <n v="17.936689280413979"/>
  </r>
  <r>
    <d v="2024-06-04T00:00:00"/>
    <s v="AD001"/>
    <s v="UG Admission"/>
    <x v="1"/>
    <s v="17–21 Age"/>
    <n v="57200"/>
    <n v="2876"/>
    <n v="542"/>
    <n v="295"/>
    <n v="144"/>
    <n v="40656.160000000003"/>
    <n v="1131479.57"/>
    <s v="North India"/>
    <n v="1"/>
    <s v="OK"/>
    <n v="5.0279720279720284"/>
    <n v="18.845618915159946"/>
    <n v="54.428044280442798"/>
    <n v="48.813559322033903"/>
    <n v="2683.0458410238448"/>
    <n v="27.830458410238446"/>
  </r>
  <r>
    <d v="2024-06-05T00:00:00"/>
    <s v="AD001"/>
    <s v="UG Admission"/>
    <x v="1"/>
    <s v="17–21 Age"/>
    <n v="138496"/>
    <n v="6165"/>
    <n v="1152"/>
    <n v="534"/>
    <n v="238"/>
    <n v="78355.929999999993"/>
    <n v="1666242.27"/>
    <s v="West India"/>
    <n v="1"/>
    <s v="OK"/>
    <n v="4.4513920979667283"/>
    <n v="18.686131386861312"/>
    <n v="46.354166666666671"/>
    <n v="44.569288389513105"/>
    <n v="2026.5043628478409"/>
    <n v="21.265043628478409"/>
  </r>
  <r>
    <d v="2024-06-06T00:00:00"/>
    <s v="AD001"/>
    <s v="UG Admission"/>
    <x v="1"/>
    <s v="17–21 Age"/>
    <n v="173098"/>
    <n v="12987"/>
    <n v="2605"/>
    <n v="1205"/>
    <n v="678"/>
    <n v="171934.55"/>
    <n v="4701884.7"/>
    <s v="East India"/>
    <n v="1"/>
    <s v="OK"/>
    <n v="7.5026863395302081"/>
    <n v="20.058520058520056"/>
    <n v="46.257197696737045"/>
    <n v="56.265560165975103"/>
    <n v="2634.6945102075183"/>
    <n v="27.346945102075182"/>
  </r>
  <r>
    <d v="2024-06-07T00:00:00"/>
    <s v="AD001"/>
    <s v="UG Admission"/>
    <x v="1"/>
    <s v="17–21 Age"/>
    <n v="132867"/>
    <n v="6166"/>
    <n v="1353"/>
    <n v="871"/>
    <n v="423"/>
    <n v="110775.88"/>
    <n v="1886619.18"/>
    <s v="North India"/>
    <n v="1"/>
    <s v="OK"/>
    <n v="4.6407309565204304"/>
    <n v="21.942912747324034"/>
    <n v="64.375461936437546"/>
    <n v="48.56486796785304"/>
    <n v="1603.0956377868538"/>
    <n v="17.030956377868538"/>
  </r>
  <r>
    <d v="2024-06-08T00:00:00"/>
    <s v="AD001"/>
    <s v="UG Admission"/>
    <x v="1"/>
    <s v="17–21 Age"/>
    <n v="78405"/>
    <n v="5902"/>
    <n v="1106"/>
    <n v="584"/>
    <n v="309"/>
    <n v="59265.23"/>
    <n v="1624992.95"/>
    <s v="Pan India"/>
    <n v="1"/>
    <s v="OK"/>
    <n v="7.5275811491614055"/>
    <n v="18.739410369366315"/>
    <n v="52.802893309222419"/>
    <n v="52.910958904109584"/>
    <n v="2641.8993396296614"/>
    <n v="27.418993396296614"/>
  </r>
  <r>
    <d v="2024-06-09T00:00:00"/>
    <s v="AD001"/>
    <s v="UG Admission"/>
    <x v="1"/>
    <s v="17–21 Age"/>
    <n v="123612"/>
    <n v="8089"/>
    <n v="1527"/>
    <n v="775"/>
    <n v="424"/>
    <n v="113946.27"/>
    <n v="3146851.09"/>
    <s v="Pan India"/>
    <n v="1"/>
    <s v="OK"/>
    <n v="6.5438630553667929"/>
    <n v="18.87748794659414"/>
    <n v="50.753110674525217"/>
    <n v="54.70967741935484"/>
    <n v="2661.6973245372578"/>
    <n v="27.616973245372577"/>
  </r>
  <r>
    <d v="2024-06-10T00:00:00"/>
    <s v="AD001"/>
    <s v="UG Admission"/>
    <x v="1"/>
    <s v="17–21 Age"/>
    <n v="195933"/>
    <n v="8997"/>
    <n v="1665"/>
    <n v="915"/>
    <n v="447"/>
    <n v="189378.11"/>
    <n v="2736847.83"/>
    <s v="North India"/>
    <n v="1"/>
    <s v="OK"/>
    <n v="4.5918757942766151"/>
    <n v="18.506168722907638"/>
    <n v="54.954954954954957"/>
    <n v="48.852459016393439"/>
    <n v="1345.1764409307921"/>
    <n v="14.45176440930792"/>
  </r>
  <r>
    <d v="2024-06-11T00:00:00"/>
    <s v="AD001"/>
    <s v="UG Admission"/>
    <x v="1"/>
    <s v="17–21 Age"/>
    <n v="107645"/>
    <n v="6490"/>
    <n v="1396"/>
    <n v="669"/>
    <n v="394"/>
    <n v="64452.160000000003"/>
    <n v="2150210.5099999998"/>
    <s v="South India"/>
    <n v="1"/>
    <s v="OK"/>
    <n v="6.0290770588508522"/>
    <n v="21.510015408320491"/>
    <n v="47.922636103151859"/>
    <n v="58.893871449925264"/>
    <n v="3236.1341342167584"/>
    <n v="33.361341342167577"/>
  </r>
  <r>
    <d v="2024-06-12T00:00:00"/>
    <s v="AD001"/>
    <s v="UG Admission"/>
    <x v="1"/>
    <s v="17–21 Age"/>
    <n v="126990"/>
    <n v="3967"/>
    <n v="640"/>
    <n v="342"/>
    <n v="195"/>
    <n v="78557.41"/>
    <n v="817559.85"/>
    <s v="South India"/>
    <n v="1"/>
    <s v="OK"/>
    <n v="3.1238680211040237"/>
    <n v="16.13309805898664"/>
    <n v="53.437500000000007"/>
    <n v="57.017543859649123"/>
    <n v="940.7164009098567"/>
    <n v="10.407164009098569"/>
  </r>
  <r>
    <d v="2024-06-13T00:00:00"/>
    <s v="AD001"/>
    <s v="UG Admission"/>
    <x v="1"/>
    <s v="17–21 Age"/>
    <n v="173173"/>
    <n v="6384"/>
    <n v="1547"/>
    <n v="788"/>
    <n v="399"/>
    <n v="127532.25"/>
    <n v="2683477.69"/>
    <s v="East India"/>
    <n v="1"/>
    <s v="OK"/>
    <n v="3.686486923481143"/>
    <n v="24.232456140350877"/>
    <n v="50.937297996121522"/>
    <n v="50.634517766497467"/>
    <n v="2004.1561565800023"/>
    <n v="21.041561565800023"/>
  </r>
  <r>
    <d v="2024-06-14T00:00:00"/>
    <s v="AD001"/>
    <s v="UG Admission"/>
    <x v="1"/>
    <s v="17–21 Age"/>
    <n v="267033"/>
    <n v="20262"/>
    <n v="3713"/>
    <n v="2404"/>
    <n v="1299"/>
    <n v="216742.23"/>
    <n v="7943328.0199999996"/>
    <s v="Pan India"/>
    <n v="1"/>
    <s v="OK"/>
    <n v="7.5878262237251581"/>
    <n v="18.32494324351002"/>
    <n v="64.745488823054131"/>
    <n v="54.034941763727119"/>
    <n v="3564.8732552027345"/>
    <n v="36.648732552027354"/>
  </r>
  <r>
    <d v="2024-06-15T00:00:00"/>
    <s v="AD001"/>
    <s v="UG Admission"/>
    <x v="1"/>
    <s v="17–21 Age"/>
    <n v="132726"/>
    <n v="7918"/>
    <n v="1387"/>
    <n v="700"/>
    <n v="353"/>
    <n v="57062.19"/>
    <n v="1916053.2"/>
    <s v="East India"/>
    <n v="1"/>
    <s v="OK"/>
    <n v="5.9656736434458963"/>
    <n v="17.517049760040415"/>
    <n v="50.468637346791631"/>
    <n v="50.428571428571431"/>
    <n v="3257.8332692804111"/>
    <n v="33.578332692804111"/>
  </r>
  <r>
    <d v="2024-06-16T00:00:00"/>
    <s v="AD001"/>
    <s v="UG Admission"/>
    <x v="1"/>
    <s v="17–21 Age"/>
    <n v="251270"/>
    <n v="9386"/>
    <n v="1500"/>
    <n v="689"/>
    <n v="349"/>
    <n v="244867.93"/>
    <n v="2427243.89"/>
    <s v="North India"/>
    <n v="1"/>
    <s v="OK"/>
    <n v="3.7354240458470969"/>
    <n v="15.981248668229279"/>
    <n v="45.93333333333333"/>
    <n v="50.653120464441216"/>
    <n v="891.24613419160278"/>
    <n v="9.9124613419160283"/>
  </r>
  <r>
    <d v="2024-06-17T00:00:00"/>
    <s v="AD001"/>
    <s v="UG Admission"/>
    <x v="1"/>
    <s v="17–21 Age"/>
    <n v="207125"/>
    <n v="16396"/>
    <n v="3081"/>
    <n v="1427"/>
    <n v="767"/>
    <n v="130264.98"/>
    <n v="5214044.04"/>
    <s v="West India"/>
    <n v="1"/>
    <s v="OK"/>
    <n v="7.9159927579963787"/>
    <n v="18.791168577701878"/>
    <n v="46.316131126257709"/>
    <n v="53.749124036440087"/>
    <n v="3902.6444866456045"/>
    <n v="40.026444866456053"/>
  </r>
  <r>
    <d v="2024-06-18T00:00:00"/>
    <s v="AD001"/>
    <s v="UG Admission"/>
    <x v="1"/>
    <s v="17–21 Age"/>
    <n v="224667"/>
    <n v="15878"/>
    <n v="3948"/>
    <n v="2098"/>
    <n v="1224"/>
    <n v="195773.85"/>
    <n v="4343632.79"/>
    <s v="East India"/>
    <n v="1"/>
    <s v="OK"/>
    <n v="7.0673485647647398"/>
    <n v="24.864592517949362"/>
    <n v="53.140830800405269"/>
    <n v="58.341277407054335"/>
    <n v="2118.6991725401526"/>
    <n v="22.186991725401526"/>
  </r>
  <r>
    <d v="2024-06-19T00:00:00"/>
    <s v="AD001"/>
    <s v="UG Admission"/>
    <x v="1"/>
    <s v="17–21 Age"/>
    <n v="295874"/>
    <n v="20384"/>
    <n v="3505"/>
    <n v="2023"/>
    <n v="974"/>
    <n v="195140.62"/>
    <n v="5500364.7000000002"/>
    <s v="East India"/>
    <n v="1"/>
    <s v="OK"/>
    <n v="6.8894191446358928"/>
    <n v="17.194858712715856"/>
    <n v="57.717546362339512"/>
    <n v="48.146317350469594"/>
    <n v="2718.6672257165119"/>
    <n v="28.186672257165117"/>
  </r>
  <r>
    <d v="2024-06-20T00:00:00"/>
    <s v="AD001"/>
    <s v="UG Admission"/>
    <x v="1"/>
    <s v="17–21 Age"/>
    <n v="205409"/>
    <n v="7026"/>
    <n v="1119"/>
    <n v="706"/>
    <n v="423"/>
    <n v="175824.96"/>
    <n v="1322998.03"/>
    <s v="Pan India"/>
    <n v="1"/>
    <s v="OK"/>
    <n v="3.4204927729554204"/>
    <n v="15.926558497011101"/>
    <n v="63.092046470062556"/>
    <n v="59.915014164305944"/>
    <n v="652.45177362758966"/>
    <n v="7.5245177362758966"/>
  </r>
  <r>
    <d v="2024-06-21T00:00:00"/>
    <s v="AD001"/>
    <s v="UG Admission"/>
    <x v="1"/>
    <s v="17–21 Age"/>
    <n v="189047"/>
    <n v="7231"/>
    <n v="1473"/>
    <n v="846"/>
    <n v="469"/>
    <n v="149311.23000000001"/>
    <n v="2655170.75"/>
    <s v="North India"/>
    <n v="1"/>
    <s v="OK"/>
    <n v="3.8249747417308924"/>
    <n v="20.370626469367998"/>
    <n v="57.433808553971488"/>
    <n v="55.437352245862883"/>
    <n v="1678.2793363901696"/>
    <n v="17.782793363901696"/>
  </r>
  <r>
    <d v="2024-06-22T00:00:00"/>
    <s v="AD001"/>
    <s v="UG Admission"/>
    <x v="1"/>
    <s v="17–21 Age"/>
    <n v="174907"/>
    <n v="8495"/>
    <n v="2121"/>
    <n v="1059"/>
    <n v="425"/>
    <n v="134700.51"/>
    <n v="2590998.61"/>
    <s v="North India"/>
    <n v="1"/>
    <s v="OK"/>
    <n v="4.8568667920666417"/>
    <n v="24.967628016480283"/>
    <n v="49.929278642149924"/>
    <n v="40.132200188857411"/>
    <n v="1823.5254640090072"/>
    <n v="19.235254640090076"/>
  </r>
  <r>
    <d v="2024-06-23T00:00:00"/>
    <s v="AD001"/>
    <s v="UG Admission"/>
    <x v="1"/>
    <s v="17–21 Age"/>
    <n v="176167"/>
    <n v="10868"/>
    <n v="1936"/>
    <n v="1164"/>
    <n v="627"/>
    <n v="121892.02"/>
    <n v="4751275.42"/>
    <s v="East India"/>
    <n v="1"/>
    <s v="OK"/>
    <n v="6.1691463213882285"/>
    <n v="17.813765182186234"/>
    <n v="60.123966942148769"/>
    <n v="53.865979381443296"/>
    <n v="3797.9380438522553"/>
    <n v="38.979380438522554"/>
  </r>
  <r>
    <d v="2024-06-24T00:00:00"/>
    <s v="AD001"/>
    <s v="UG Admission"/>
    <x v="1"/>
    <s v="17–21 Age"/>
    <n v="170905"/>
    <n v="8986"/>
    <n v="2123"/>
    <n v="1289"/>
    <n v="772"/>
    <n v="77320.5"/>
    <n v="3546992.04"/>
    <s v="Pan India"/>
    <n v="1"/>
    <s v="OK"/>
    <n v="5.2578918112401629"/>
    <n v="23.625639884264409"/>
    <n v="60.715967969853978"/>
    <n v="59.891388673390225"/>
    <n v="4487.388907210895"/>
    <n v="45.873889072108952"/>
  </r>
  <r>
    <d v="2024-06-25T00:00:00"/>
    <s v="AD001"/>
    <s v="UG Admission"/>
    <x v="1"/>
    <s v="17–21 Age"/>
    <n v="92195"/>
    <n v="6158"/>
    <n v="1102"/>
    <n v="514"/>
    <n v="217"/>
    <n v="53344.57"/>
    <n v="1158159.81"/>
    <s v="West India"/>
    <n v="1"/>
    <s v="OK"/>
    <n v="6.6793210043928628"/>
    <n v="17.895420591101008"/>
    <n v="46.64246823956443"/>
    <n v="42.217898832684824"/>
    <n v="2071.0922217575285"/>
    <n v="21.710922217575284"/>
  </r>
  <r>
    <d v="2024-06-26T00:00:00"/>
    <s v="AD001"/>
    <s v="UG Admission"/>
    <x v="1"/>
    <s v="17–21 Age"/>
    <n v="144589"/>
    <n v="11439"/>
    <n v="2189"/>
    <n v="1146"/>
    <n v="674"/>
    <n v="93882.94"/>
    <n v="3774177.24"/>
    <s v="Pan India"/>
    <n v="1"/>
    <s v="OK"/>
    <n v="7.9113902164065042"/>
    <n v="19.136288137074921"/>
    <n v="52.352672453174961"/>
    <n v="58.813263525305416"/>
    <n v="3920.0884633566011"/>
    <n v="40.200884633566012"/>
  </r>
  <r>
    <d v="2024-06-27T00:00:00"/>
    <s v="AD001"/>
    <s v="UG Admission"/>
    <x v="1"/>
    <s v="17–21 Age"/>
    <n v="218634"/>
    <n v="13467"/>
    <n v="2852"/>
    <n v="1603"/>
    <n v="838"/>
    <n v="196856.04"/>
    <n v="2571768.14"/>
    <s v="North India"/>
    <n v="1"/>
    <s v="OK"/>
    <n v="6.1596092099124569"/>
    <n v="21.177693621445016"/>
    <n v="56.206171107994386"/>
    <n v="52.27698066126014"/>
    <n v="1206.4207427925503"/>
    <n v="13.064207427925503"/>
  </r>
  <r>
    <d v="2024-06-28T00:00:00"/>
    <s v="AD001"/>
    <s v="UG Admission"/>
    <x v="1"/>
    <s v="17–21 Age"/>
    <n v="224017"/>
    <n v="17218"/>
    <n v="3927"/>
    <n v="2217"/>
    <n v="1085"/>
    <n v="145416.06"/>
    <n v="7154154.9100000001"/>
    <s v="North India"/>
    <n v="1"/>
    <s v="OK"/>
    <n v="7.6860238285487252"/>
    <n v="22.80752700662098"/>
    <n v="56.455309396485866"/>
    <n v="48.94000902119982"/>
    <n v="4819.7832137660725"/>
    <n v="49.197832137660725"/>
  </r>
  <r>
    <d v="2024-06-29T00:00:00"/>
    <s v="AD001"/>
    <s v="UG Admission"/>
    <x v="1"/>
    <s v="17–21 Age"/>
    <n v="99562"/>
    <n v="5277"/>
    <n v="1146"/>
    <n v="694"/>
    <n v="296"/>
    <n v="73478.7"/>
    <n v="920163.38"/>
    <s v="North India"/>
    <n v="1"/>
    <s v="OK"/>
    <n v="5.3002149414435227"/>
    <n v="21.716884593519044"/>
    <n v="60.558464223385691"/>
    <n v="42.65129682997118"/>
    <n v="1152.2858733211121"/>
    <n v="12.522858733211121"/>
  </r>
  <r>
    <d v="2024-06-30T00:00:00"/>
    <s v="AD001"/>
    <s v="UG Admission"/>
    <x v="1"/>
    <s v="17–21 Age"/>
    <n v="247894"/>
    <n v="9939"/>
    <n v="2312"/>
    <n v="1356"/>
    <n v="632"/>
    <n v="174102.28"/>
    <n v="4208262.5199999996"/>
    <s v="West India"/>
    <n v="1"/>
    <s v="OK"/>
    <n v="4.0093749747876108"/>
    <n v="23.261897575208774"/>
    <n v="58.650519031141869"/>
    <n v="46.607669616519175"/>
    <n v="2317.1208556257848"/>
    <n v="24.171208556257849"/>
  </r>
  <r>
    <d v="2024-07-01T00:00:00"/>
    <s v="AD001"/>
    <s v="UG Admission"/>
    <x v="1"/>
    <s v="17–21 Age"/>
    <n v="189966"/>
    <n v="6959"/>
    <n v="1711"/>
    <n v="797"/>
    <n v="357"/>
    <n v="128422.24"/>
    <n v="2524973.42"/>
    <s v="South India"/>
    <n v="1"/>
    <s v="OK"/>
    <n v="3.6632871145362853"/>
    <n v="24.586865929012788"/>
    <n v="46.580946814728229"/>
    <n v="44.792973651191971"/>
    <n v="1866.1496482229243"/>
    <n v="19.661496482229246"/>
  </r>
  <r>
    <d v="2024-07-02T00:00:00"/>
    <s v="AD001"/>
    <s v="UG Admission"/>
    <x v="1"/>
    <s v="17–21 Age"/>
    <n v="290368"/>
    <n v="17043"/>
    <n v="2956"/>
    <n v="1912"/>
    <n v="1082"/>
    <n v="182544.6"/>
    <n v="3348574.79"/>
    <s v="South India"/>
    <n v="1"/>
    <s v="OK"/>
    <n v="5.8694484240687679"/>
    <n v="17.344364255119405"/>
    <n v="64.682002706359938"/>
    <n v="56.589958158995813"/>
    <n v="1734.3872072907113"/>
    <n v="18.343872072907114"/>
  </r>
  <r>
    <d v="2024-07-03T00:00:00"/>
    <s v="AD001"/>
    <s v="UG Admission"/>
    <x v="1"/>
    <s v="17–21 Age"/>
    <n v="98624"/>
    <n v="5398"/>
    <n v="1025"/>
    <n v="555"/>
    <n v="234"/>
    <n v="58644.23"/>
    <n v="1605697.96"/>
    <s v="East India"/>
    <n v="1"/>
    <s v="OK"/>
    <n v="5.4733127839065538"/>
    <n v="18.988514264542424"/>
    <n v="54.146341463414636"/>
    <n v="42.162162162162161"/>
    <n v="2638.0323008759769"/>
    <n v="27.380323008759767"/>
  </r>
  <r>
    <d v="2024-07-04T00:00:00"/>
    <s v="AD001"/>
    <s v="UG Admission"/>
    <x v="1"/>
    <s v="17–21 Age"/>
    <n v="185544"/>
    <n v="8967"/>
    <n v="1881"/>
    <n v="974"/>
    <n v="497"/>
    <n v="143891.23000000001"/>
    <n v="2013575.82"/>
    <s v="North India"/>
    <n v="1"/>
    <s v="OK"/>
    <n v="4.832815935842711"/>
    <n v="20.976915356306456"/>
    <n v="51.780967570441248"/>
    <n v="51.026694045174537"/>
    <n v="1299.3735545939805"/>
    <n v="13.993735545939805"/>
  </r>
  <r>
    <d v="2024-07-05T00:00:00"/>
    <s v="AD001"/>
    <s v="UG Admission"/>
    <x v="1"/>
    <s v="17–21 Age"/>
    <n v="64345"/>
    <n v="2893"/>
    <n v="673"/>
    <n v="399"/>
    <n v="231"/>
    <n v="58397.08"/>
    <n v="1512057.86"/>
    <s v="East India"/>
    <n v="1"/>
    <s v="OK"/>
    <n v="4.4960758411687003"/>
    <n v="23.263048738333911"/>
    <n v="59.286775631500745"/>
    <n v="57.894736842105267"/>
    <n v="2489.2696347146125"/>
    <n v="25.892696347146124"/>
  </r>
  <r>
    <d v="2024-07-06T00:00:00"/>
    <s v="AD001"/>
    <s v="UG Admission"/>
    <x v="1"/>
    <s v="17–21 Age"/>
    <n v="260059"/>
    <n v="15459"/>
    <n v="2859"/>
    <n v="1616"/>
    <n v="748"/>
    <n v="238169.83"/>
    <n v="3760809.01"/>
    <s v="Pan India"/>
    <n v="1"/>
    <s v="OK"/>
    <n v="5.9444203046231818"/>
    <n v="18.494081117795456"/>
    <n v="56.523259881077301"/>
    <n v="46.287128712871286"/>
    <n v="1479.0450914794708"/>
    <n v="15.790450914794707"/>
  </r>
  <r>
    <d v="2024-07-07T00:00:00"/>
    <s v="AD001"/>
    <s v="UG Admission"/>
    <x v="1"/>
    <s v="17–21 Age"/>
    <n v="272679"/>
    <n v="12573"/>
    <n v="2386"/>
    <n v="1298"/>
    <n v="669"/>
    <n v="125239.22"/>
    <n v="4864239.68"/>
    <s v="East India"/>
    <n v="1"/>
    <s v="OK"/>
    <n v="4.610916132155392"/>
    <n v="18.977173307881969"/>
    <n v="54.400670578373841"/>
    <n v="51.54083204930663"/>
    <n v="3783.9587790470114"/>
    <n v="38.839587790470105"/>
  </r>
  <r>
    <d v="2024-07-08T00:00:00"/>
    <s v="AD001"/>
    <s v="UG Admission"/>
    <x v="1"/>
    <s v="17–21 Age"/>
    <n v="248350"/>
    <n v="16741"/>
    <n v="2897"/>
    <n v="1713"/>
    <n v="861"/>
    <n v="217164.85"/>
    <n v="3498930.88"/>
    <s v="Pan India"/>
    <n v="1"/>
    <s v="OK"/>
    <n v="6.7408898731628755"/>
    <n v="17.30482050056747"/>
    <n v="59.13013462202278"/>
    <n v="50.262697022767078"/>
    <n v="1511.1865617294877"/>
    <n v="16.111865617294878"/>
  </r>
  <r>
    <d v="2024-07-09T00:00:00"/>
    <s v="AD001"/>
    <s v="UG Admission"/>
    <x v="1"/>
    <s v="17–21 Age"/>
    <n v="177393"/>
    <n v="7806"/>
    <n v="1826"/>
    <n v="1016"/>
    <n v="471"/>
    <n v="138014.22"/>
    <n v="3729596.77"/>
    <s v="Pan India"/>
    <n v="1"/>
    <s v="OK"/>
    <n v="4.400399113832"/>
    <n v="23.392262362285422"/>
    <n v="55.640744797371298"/>
    <n v="46.358267716535437"/>
    <n v="2602.3278978064723"/>
    <n v="27.023278978064724"/>
  </r>
  <r>
    <d v="2024-07-10T00:00:00"/>
    <s v="AD001"/>
    <s v="UG Admission"/>
    <x v="1"/>
    <s v="17–21 Age"/>
    <n v="151029"/>
    <n v="9303"/>
    <n v="1887"/>
    <n v="1057"/>
    <n v="498"/>
    <n v="70776.38"/>
    <n v="1931400.27"/>
    <s v="Pan India"/>
    <n v="1"/>
    <s v="OK"/>
    <n v="6.1597441550960408"/>
    <n v="20.283779425991614"/>
    <n v="56.014838367779539"/>
    <n v="47.114474929044462"/>
    <n v="2628.876879546538"/>
    <n v="27.28876879546538"/>
  </r>
  <r>
    <d v="2024-07-11T00:00:00"/>
    <s v="AD001"/>
    <s v="UG Admission"/>
    <x v="1"/>
    <s v="17–21 Age"/>
    <n v="53745"/>
    <n v="4296"/>
    <n v="787"/>
    <n v="354"/>
    <n v="145"/>
    <n v="28330.69"/>
    <n v="567612.72"/>
    <s v="North India"/>
    <n v="1"/>
    <s v="OK"/>
    <n v="7.9933017024839517"/>
    <n v="18.319366852886407"/>
    <n v="44.980940279542573"/>
    <n v="40.960451977401128"/>
    <n v="1903.5259289484304"/>
    <n v="20.035259289484301"/>
  </r>
  <r>
    <d v="2024-07-12T00:00:00"/>
    <s v="AD001"/>
    <s v="UG Admission"/>
    <x v="1"/>
    <s v="17–21 Age"/>
    <n v="81985"/>
    <n v="2676"/>
    <n v="589"/>
    <n v="334"/>
    <n v="155"/>
    <n v="39730.86"/>
    <n v="1134386.5"/>
    <s v="East India"/>
    <n v="1"/>
    <s v="OK"/>
    <n v="3.2640117094590471"/>
    <n v="22.010463378176382"/>
    <n v="56.706281833616302"/>
    <n v="46.407185628742518"/>
    <n v="2755.1773105339271"/>
    <n v="28.551773105339276"/>
  </r>
  <r>
    <d v="2024-07-13T00:00:00"/>
    <s v="AD001"/>
    <s v="UG Admission"/>
    <x v="1"/>
    <s v="17–21 Age"/>
    <n v="101535"/>
    <n v="3234"/>
    <n v="704"/>
    <n v="418"/>
    <n v="167"/>
    <n v="49643.44"/>
    <n v="538637.71"/>
    <s v="South India"/>
    <n v="1"/>
    <s v="OK"/>
    <n v="3.185108583247156"/>
    <n v="21.768707482993197"/>
    <n v="59.375"/>
    <n v="39.952153110047846"/>
    <n v="985.01286373385869"/>
    <n v="10.850128637338587"/>
  </r>
  <r>
    <d v="2024-07-14T00:00:00"/>
    <s v="AD001"/>
    <s v="UG Admission"/>
    <x v="1"/>
    <s v="17–21 Age"/>
    <n v="56203"/>
    <n v="3399"/>
    <n v="526"/>
    <n v="282"/>
    <n v="124"/>
    <n v="50748.12"/>
    <n v="703721.34"/>
    <s v="East India"/>
    <n v="1"/>
    <s v="OK"/>
    <n v="6.0477198726046648"/>
    <n v="15.475139746984407"/>
    <n v="53.612167300380229"/>
    <n v="43.971631205673759"/>
    <n v="1286.6944036547559"/>
    <n v="13.86694403654756"/>
  </r>
  <r>
    <d v="2024-07-15T00:00:00"/>
    <s v="AD001"/>
    <s v="UG Admission"/>
    <x v="1"/>
    <s v="17–21 Age"/>
    <n v="172571"/>
    <n v="12649"/>
    <n v="2920"/>
    <n v="1512"/>
    <n v="709"/>
    <n v="144033.44"/>
    <n v="4185547.5"/>
    <s v="West India"/>
    <n v="1"/>
    <s v="OK"/>
    <n v="7.3297367460349649"/>
    <n v="23.084828840224525"/>
    <n v="51.780821917808218"/>
    <n v="46.891534391534393"/>
    <n v="2805.9553809170984"/>
    <n v="29.059553809170982"/>
  </r>
  <r>
    <d v="2024-07-16T00:00:00"/>
    <s v="AD001"/>
    <s v="UG Admission"/>
    <x v="1"/>
    <s v="17–21 Age"/>
    <n v="206620"/>
    <n v="15320"/>
    <n v="3284"/>
    <n v="2077"/>
    <n v="936"/>
    <n v="107031.96"/>
    <n v="4032427.25"/>
    <s v="West India"/>
    <n v="1"/>
    <s v="OK"/>
    <n v="7.4145774852386017"/>
    <n v="21.436031331592691"/>
    <n v="63.246041412911083"/>
    <n v="45.064997592681756"/>
    <n v="3667.4982780844148"/>
    <n v="37.674982780844147"/>
  </r>
  <r>
    <d v="2024-07-17T00:00:00"/>
    <s v="AD001"/>
    <s v="UG Admission"/>
    <x v="1"/>
    <s v="17–21 Age"/>
    <n v="238579"/>
    <n v="11277"/>
    <n v="1997"/>
    <n v="942"/>
    <n v="481"/>
    <n v="200472.94"/>
    <n v="1996665.29"/>
    <s v="West India"/>
    <n v="1"/>
    <s v="OK"/>
    <n v="4.7267362173535812"/>
    <n v="17.708610446040613"/>
    <n v="47.170756134201305"/>
    <n v="51.061571125265395"/>
    <n v="895.97745710717868"/>
    <n v="9.9597745710717867"/>
  </r>
  <r>
    <d v="2024-07-18T00:00:00"/>
    <s v="AD001"/>
    <s v="UG Admission"/>
    <x v="1"/>
    <s v="17–21 Age"/>
    <n v="299596"/>
    <n v="13778"/>
    <n v="2469"/>
    <n v="1401"/>
    <n v="803"/>
    <n v="133225.18"/>
    <n v="4364604.8499999996"/>
    <s v="Pan India"/>
    <n v="1"/>
    <s v="OK"/>
    <n v="4.5988597978611194"/>
    <n v="17.919872260124837"/>
    <n v="56.743620899149448"/>
    <n v="57.316202712348321"/>
    <n v="3176.1110549822488"/>
    <n v="32.76111054982249"/>
  </r>
  <r>
    <d v="2024-07-19T00:00:00"/>
    <s v="AD001"/>
    <s v="UG Admission"/>
    <x v="1"/>
    <s v="17–21 Age"/>
    <n v="289584"/>
    <n v="9928"/>
    <n v="1754"/>
    <n v="852"/>
    <n v="495"/>
    <n v="233553.6"/>
    <n v="1607665.33"/>
    <s v="North India"/>
    <n v="1"/>
    <s v="OK"/>
    <n v="3.4283662080777946"/>
    <n v="17.66720386784851"/>
    <n v="48.574686431014825"/>
    <n v="58.098591549295776"/>
    <n v="588.34962509676575"/>
    <n v="6.8834962509676583"/>
  </r>
  <r>
    <d v="2024-07-20T00:00:00"/>
    <s v="AD001"/>
    <s v="UG Admission"/>
    <x v="1"/>
    <s v="17–21 Age"/>
    <n v="272890"/>
    <n v="10309"/>
    <n v="2371"/>
    <n v="1461"/>
    <n v="865"/>
    <n v="248690.64"/>
    <n v="6675094.5599999996"/>
    <s v="West India"/>
    <n v="1"/>
    <s v="OK"/>
    <n v="3.7777126314632272"/>
    <n v="22.999320981666504"/>
    <n v="61.619569801771398"/>
    <n v="59.206023271731688"/>
    <n v="2584.09561373118"/>
    <n v="26.8409561373118"/>
  </r>
  <r>
    <d v="2024-07-21T00:00:00"/>
    <s v="AD001"/>
    <s v="UG Admission"/>
    <x v="1"/>
    <s v="17–21 Age"/>
    <n v="285905"/>
    <n v="8585"/>
    <n v="1949"/>
    <n v="993"/>
    <n v="582"/>
    <n v="254211.76"/>
    <n v="3218555.65"/>
    <s v="West India"/>
    <n v="1"/>
    <s v="OK"/>
    <n v="3.0027456672670993"/>
    <n v="22.702387885847408"/>
    <n v="50.949204720369423"/>
    <n v="58.610271903323266"/>
    <n v="1166.0923515104098"/>
    <n v="12.6609235151041"/>
  </r>
  <r>
    <d v="2024-07-22T00:00:00"/>
    <s v="AD001"/>
    <s v="UG Admission"/>
    <x v="1"/>
    <s v="17–21 Age"/>
    <n v="92579"/>
    <n v="6825"/>
    <n v="1236"/>
    <n v="768"/>
    <n v="372"/>
    <n v="46340.62"/>
    <n v="2501009.92"/>
    <s v="West India"/>
    <n v="1"/>
    <s v="OK"/>
    <n v="7.3720822216701416"/>
    <n v="18.109890109890109"/>
    <n v="62.135922330097081"/>
    <n v="48.4375"/>
    <n v="5297.0143688194066"/>
    <n v="53.970143688194071"/>
  </r>
  <r>
    <d v="2024-07-23T00:00:00"/>
    <s v="AD001"/>
    <s v="UG Admission"/>
    <x v="1"/>
    <s v="17–21 Age"/>
    <n v="262199"/>
    <n v="20171"/>
    <n v="3719"/>
    <n v="2289"/>
    <n v="1259"/>
    <n v="108832.62"/>
    <n v="8859616.1300000008"/>
    <s v="North India"/>
    <n v="1"/>
    <s v="OK"/>
    <n v="7.6930117963836624"/>
    <n v="18.437360567150858"/>
    <n v="61.548803441785424"/>
    <n v="55.002184359982522"/>
    <n v="8040.5888510264676"/>
    <n v="81.405888510264674"/>
  </r>
  <r>
    <d v="2024-07-24T00:00:00"/>
    <s v="AD001"/>
    <s v="UG Admission"/>
    <x v="1"/>
    <s v="17–21 Age"/>
    <n v="198212"/>
    <n v="6874"/>
    <n v="1415"/>
    <n v="799"/>
    <n v="462"/>
    <n v="108824.3"/>
    <n v="3333666.45"/>
    <s v="Pan India"/>
    <n v="1"/>
    <s v="OK"/>
    <n v="3.4680039553609268"/>
    <n v="20.58481233633983"/>
    <n v="56.466431095406357"/>
    <n v="57.822277847309131"/>
    <n v="2963.3474784583959"/>
    <n v="30.63347478458396"/>
  </r>
  <r>
    <d v="2024-07-25T00:00:00"/>
    <s v="AD001"/>
    <s v="UG Admission"/>
    <x v="1"/>
    <s v="17–21 Age"/>
    <n v="118809"/>
    <n v="7312"/>
    <n v="1760"/>
    <n v="995"/>
    <n v="443"/>
    <n v="100651.52"/>
    <n v="2996388.37"/>
    <s v="West India"/>
    <n v="1"/>
    <s v="OK"/>
    <n v="6.1544159112525145"/>
    <n v="24.070021881838073"/>
    <n v="56.534090909090907"/>
    <n v="44.522613065326631"/>
    <n v="2876.9926673735281"/>
    <n v="29.769926673735281"/>
  </r>
  <r>
    <d v="2024-07-26T00:00:00"/>
    <s v="AD001"/>
    <s v="UG Admission"/>
    <x v="1"/>
    <s v="17–21 Age"/>
    <n v="182889"/>
    <n v="5572"/>
    <n v="878"/>
    <n v="401"/>
    <n v="226"/>
    <n v="93158.25"/>
    <n v="1525793.32"/>
    <s v="North India"/>
    <n v="1"/>
    <s v="OK"/>
    <n v="3.0466567152753856"/>
    <n v="15.757358219669779"/>
    <n v="45.671981776765378"/>
    <n v="56.359102244389028"/>
    <n v="1537.8509901162809"/>
    <n v="16.378509901162808"/>
  </r>
  <r>
    <d v="2024-07-27T00:00:00"/>
    <s v="AD001"/>
    <s v="UG Admission"/>
    <x v="1"/>
    <s v="17–21 Age"/>
    <n v="85016"/>
    <n v="3976"/>
    <n v="731"/>
    <n v="365"/>
    <n v="182"/>
    <n v="39557.93"/>
    <n v="1358545.74"/>
    <s v="South India"/>
    <n v="1"/>
    <s v="OK"/>
    <n v="4.676766726263291"/>
    <n v="18.385311871227366"/>
    <n v="49.931600547195622"/>
    <n v="49.863013698630141"/>
    <n v="3334.3195915458673"/>
    <n v="34.343195915458672"/>
  </r>
  <r>
    <d v="2024-07-28T00:00:00"/>
    <s v="AD001"/>
    <s v="UG Admission"/>
    <x v="1"/>
    <s v="17–21 Age"/>
    <n v="136206"/>
    <n v="8419"/>
    <n v="2017"/>
    <n v="1200"/>
    <n v="719"/>
    <n v="66697.45"/>
    <n v="3914237"/>
    <s v="West India"/>
    <n v="1"/>
    <s v="OK"/>
    <n v="6.1810786602645997"/>
    <n v="23.957714692956408"/>
    <n v="59.494298463063956"/>
    <n v="59.916666666666664"/>
    <n v="5768.6456528697872"/>
    <n v="58.686456528697875"/>
  </r>
  <r>
    <d v="2024-07-29T00:00:00"/>
    <s v="AD001"/>
    <s v="UG Admission"/>
    <x v="1"/>
    <s v="17–21 Age"/>
    <n v="165347"/>
    <n v="11046"/>
    <n v="2068"/>
    <n v="1143"/>
    <n v="503"/>
    <n v="143383.04000000001"/>
    <n v="1991695.9"/>
    <s v="South India"/>
    <n v="1"/>
    <s v="OK"/>
    <n v="6.6804961686634776"/>
    <n v="18.721709216005795"/>
    <n v="55.27079303675049"/>
    <n v="44.006999125109367"/>
    <n v="1289.0735612803296"/>
    <n v="13.890735612803297"/>
  </r>
  <r>
    <d v="2024-07-30T00:00:00"/>
    <s v="AD001"/>
    <s v="UG Admission"/>
    <x v="1"/>
    <s v="17–21 Age"/>
    <n v="293930"/>
    <n v="12917"/>
    <n v="3074"/>
    <n v="1552"/>
    <n v="860"/>
    <n v="135737.98000000001"/>
    <n v="4957159.97"/>
    <s v="West India"/>
    <n v="1"/>
    <s v="OK"/>
    <n v="4.3945837444289451"/>
    <n v="23.798095533018504"/>
    <n v="50.487963565387119"/>
    <n v="55.412371134020624"/>
    <n v="3552.006586513221"/>
    <n v="36.520065865132217"/>
  </r>
  <r>
    <d v="2024-07-31T00:00:00"/>
    <s v="AD001"/>
    <s v="UG Admission"/>
    <x v="1"/>
    <s v="17–21 Age"/>
    <n v="143598"/>
    <n v="9751"/>
    <n v="1930"/>
    <n v="965"/>
    <n v="442"/>
    <n v="121893.19"/>
    <n v="1449676.75"/>
    <s v="Pan India"/>
    <n v="1"/>
    <s v="OK"/>
    <n v="6.7904845471385391"/>
    <n v="19.792841759819506"/>
    <n v="50"/>
    <n v="45.803108808290155"/>
    <n v="1089.3008542971104"/>
    <n v="11.893008542971105"/>
  </r>
  <r>
    <d v="2024-08-01T00:00:00"/>
    <s v="AD001"/>
    <s v="UG Admission"/>
    <x v="1"/>
    <s v="17–21 Age"/>
    <n v="54410"/>
    <n v="4309"/>
    <n v="693"/>
    <n v="357"/>
    <n v="191"/>
    <n v="48121.46"/>
    <n v="1063428.31"/>
    <s v="North India"/>
    <n v="1"/>
    <s v="OK"/>
    <n v="7.9195000918948724"/>
    <n v="16.082617776746343"/>
    <n v="51.515151515151516"/>
    <n v="53.501400560224091"/>
    <n v="2109.8837192387764"/>
    <n v="22.098837192387762"/>
  </r>
  <r>
    <d v="2024-08-01T00:00:00"/>
    <s v="AD005"/>
    <s v="Semester Exchange Program"/>
    <x v="2"/>
    <s v="22–27 Age"/>
    <n v="100600"/>
    <n v="4426"/>
    <n v="1006"/>
    <n v="578"/>
    <n v="315"/>
    <n v="88124.93"/>
    <n v="2363533.5"/>
    <s v="South India"/>
    <n v="1"/>
    <s v="OK"/>
    <n v="4.3996023856858848"/>
    <n v="22.729326705829191"/>
    <n v="57.455268389662031"/>
    <n v="54.498269896193776"/>
    <n v="2582.0259601908338"/>
    <n v="26.82025960190834"/>
  </r>
  <r>
    <d v="2024-08-02T00:00:00"/>
    <s v="AD001"/>
    <s v="UG Admission"/>
    <x v="1"/>
    <s v="17–21 Age"/>
    <n v="132675"/>
    <n v="10342"/>
    <n v="1904"/>
    <n v="862"/>
    <n v="374"/>
    <n v="113475.65"/>
    <n v="1926663.81"/>
    <s v="North India"/>
    <n v="1"/>
    <s v="OK"/>
    <n v="7.7949877520256265"/>
    <n v="18.410365499903307"/>
    <n v="45.273109243697476"/>
    <n v="43.38747099767982"/>
    <n v="1597.8654098919021"/>
    <n v="16.978654098919019"/>
  </r>
  <r>
    <d v="2024-08-02T00:00:00"/>
    <s v="AD005"/>
    <s v="Semester Exchange Program"/>
    <x v="2"/>
    <s v="17–21 Age"/>
    <n v="120721"/>
    <n v="9109"/>
    <n v="1747"/>
    <n v="1023"/>
    <n v="521"/>
    <n v="75049.88"/>
    <n v="2509324.06"/>
    <s v="North India"/>
    <n v="1"/>
    <s v="OK"/>
    <n v="7.5454974693715258"/>
    <n v="19.178834120100998"/>
    <n v="58.557527189467663"/>
    <n v="50.928641251221897"/>
    <n v="3243.5417351766587"/>
    <n v="33.435417351766581"/>
  </r>
  <r>
    <d v="2024-08-03T00:00:00"/>
    <s v="AD001"/>
    <s v="UG Admission"/>
    <x v="1"/>
    <s v="17–21 Age"/>
    <n v="200741"/>
    <n v="11692"/>
    <n v="2445"/>
    <n v="1190"/>
    <n v="664"/>
    <n v="136500.62"/>
    <n v="3345576.76"/>
    <s v="South India"/>
    <n v="1"/>
    <s v="OK"/>
    <n v="5.8244205219661156"/>
    <n v="20.911734519329457"/>
    <n v="48.670756646216766"/>
    <n v="55.798319327731093"/>
    <n v="2350.960852778544"/>
    <n v="24.509608527785442"/>
  </r>
  <r>
    <d v="2024-08-03T00:00:00"/>
    <s v="AD005"/>
    <s v="Semester Exchange Program"/>
    <x v="2"/>
    <s v="17–21 Age"/>
    <n v="208142"/>
    <n v="16098"/>
    <n v="3655"/>
    <n v="2210"/>
    <n v="1252"/>
    <n v="141729.43"/>
    <n v="7709099.5499999998"/>
    <s v="Pan India"/>
    <n v="1"/>
    <s v="OK"/>
    <n v="7.7341430369651496"/>
    <n v="22.704683811653624"/>
    <n v="60.465116279069761"/>
    <n v="56.651583710407238"/>
    <n v="5339.3075242029836"/>
    <n v="54.39307524202983"/>
  </r>
  <r>
    <d v="2024-08-04T00:00:00"/>
    <s v="AD001"/>
    <s v="UG Admission"/>
    <x v="1"/>
    <s v="17–21 Age"/>
    <n v="62326"/>
    <n v="2288"/>
    <n v="416"/>
    <n v="208"/>
    <n v="97"/>
    <n v="53808.35"/>
    <n v="514275.89"/>
    <s v="West India"/>
    <n v="1"/>
    <s v="OK"/>
    <n v="3.6710201200141195"/>
    <n v="18.181818181818183"/>
    <n v="50"/>
    <n v="46.634615384615387"/>
    <n v="855.75480385479204"/>
    <n v="9.557548038547921"/>
  </r>
  <r>
    <d v="2024-08-04T00:00:00"/>
    <s v="AD005"/>
    <s v="Semester Exchange Program"/>
    <x v="2"/>
    <s v="22–27 Age"/>
    <n v="60178"/>
    <n v="3164"/>
    <n v="594"/>
    <n v="300"/>
    <n v="141"/>
    <n v="36780.379999999997"/>
    <n v="638055.97"/>
    <s v="East India"/>
    <n v="1"/>
    <s v="OK"/>
    <n v="5.2577353850244277"/>
    <n v="18.773704171934259"/>
    <n v="50.505050505050505"/>
    <n v="47"/>
    <n v="1634.772642370742"/>
    <n v="17.347726423707424"/>
  </r>
  <r>
    <d v="2024-08-05T00:00:00"/>
    <s v="AD001"/>
    <s v="UG Admission"/>
    <x v="1"/>
    <s v="17–21 Age"/>
    <n v="105561"/>
    <n v="6091"/>
    <n v="1210"/>
    <n v="657"/>
    <n v="361"/>
    <n v="58132.88"/>
    <n v="1085319.27"/>
    <s v="South India"/>
    <n v="1"/>
    <s v="OK"/>
    <n v="5.7701234357385776"/>
    <n v="19.865375143654575"/>
    <n v="54.29752066115703"/>
    <n v="54.946727549467276"/>
    <n v="1766.9628444350255"/>
    <n v="18.669628444350256"/>
  </r>
  <r>
    <d v="2024-08-05T00:00:00"/>
    <s v="AD005"/>
    <s v="Semester Exchange Program"/>
    <x v="2"/>
    <s v="17–21 Age"/>
    <n v="108128"/>
    <n v="4562"/>
    <n v="1033"/>
    <n v="586"/>
    <n v="260"/>
    <n v="58193.29"/>
    <n v="1634560.79"/>
    <s v="South India"/>
    <n v="1"/>
    <s v="OK"/>
    <n v="4.2190736904409585"/>
    <n v="22.643577378342833"/>
    <n v="56.727976766698937"/>
    <n v="44.368600682593858"/>
    <n v="2708.8475320780108"/>
    <n v="28.088475320780113"/>
  </r>
  <r>
    <d v="2024-08-06T00:00:00"/>
    <s v="AD001"/>
    <s v="UG Admission"/>
    <x v="1"/>
    <s v="17–21 Age"/>
    <n v="96715"/>
    <n v="4883"/>
    <n v="1120"/>
    <n v="538"/>
    <n v="232"/>
    <n v="43537.41"/>
    <n v="1813996.79"/>
    <s v="East India"/>
    <n v="1"/>
    <s v="OK"/>
    <n v="5.0488548829033757"/>
    <n v="22.93671922998157"/>
    <n v="48.035714285714285"/>
    <n v="43.122676579925653"/>
    <n v="4066.5243522754336"/>
    <n v="41.665243522754338"/>
  </r>
  <r>
    <d v="2024-08-06T00:00:00"/>
    <s v="AD005"/>
    <s v="Semester Exchange Program"/>
    <x v="2"/>
    <s v="25–35 Age"/>
    <n v="99786"/>
    <n v="4538"/>
    <n v="843"/>
    <n v="475"/>
    <n v="270"/>
    <n v="86472.87"/>
    <n v="1992669.9"/>
    <s v="North India"/>
    <n v="1"/>
    <s v="OK"/>
    <n v="4.5477321467941394"/>
    <n v="18.576465403261349"/>
    <n v="56.346381969157768"/>
    <n v="56.84210526315789"/>
    <n v="2204.3873760637293"/>
    <n v="23.043873760637297"/>
  </r>
  <r>
    <d v="2024-08-07T00:00:00"/>
    <s v="AD001"/>
    <s v="UG Admission"/>
    <x v="1"/>
    <s v="17–21 Age"/>
    <n v="297887"/>
    <n v="19916"/>
    <n v="3329"/>
    <n v="2125"/>
    <n v="936"/>
    <n v="270727.95"/>
    <n v="2895011.75"/>
    <s v="West India"/>
    <n v="1"/>
    <s v="OK"/>
    <n v="6.6857566795462704"/>
    <n v="16.715203856196023"/>
    <n v="63.83298287774106"/>
    <n v="44.047058823529412"/>
    <n v="969.34350516819552"/>
    <n v="10.693435051681956"/>
  </r>
  <r>
    <d v="2024-08-07T00:00:00"/>
    <s v="AD005"/>
    <s v="Semester Exchange Program"/>
    <x v="2"/>
    <s v="17–21 Age"/>
    <n v="54376"/>
    <n v="2198"/>
    <n v="530"/>
    <n v="240"/>
    <n v="98"/>
    <n v="48889.03"/>
    <n v="404235.06"/>
    <s v="Pan India"/>
    <n v="1"/>
    <s v="OK"/>
    <n v="4.0422245108135941"/>
    <n v="24.112829845313922"/>
    <n v="45.283018867924532"/>
    <n v="40.833333333333336"/>
    <n v="726.84205434225225"/>
    <n v="8.268420543422522"/>
  </r>
  <r>
    <d v="2024-08-08T00:00:00"/>
    <s v="AD001"/>
    <s v="UG Admission"/>
    <x v="1"/>
    <s v="17–21 Age"/>
    <n v="88036"/>
    <n v="3843"/>
    <n v="807"/>
    <n v="511"/>
    <n v="208"/>
    <n v="69666.14"/>
    <n v="1270694.45"/>
    <s v="Pan India"/>
    <n v="1"/>
    <s v="OK"/>
    <n v="4.3652596665000685"/>
    <n v="20.999219359875099"/>
    <n v="63.320941759603464"/>
    <n v="40.704500978473575"/>
    <n v="1723.977114276749"/>
    <n v="18.239771142767491"/>
  </r>
  <r>
    <d v="2024-08-08T00:00:00"/>
    <s v="AD005"/>
    <s v="Semester Exchange Program"/>
    <x v="2"/>
    <s v="17–21 Age"/>
    <n v="276523"/>
    <n v="11747"/>
    <n v="1913"/>
    <n v="1099"/>
    <n v="451"/>
    <n v="112550.84"/>
    <n v="3062511.38"/>
    <s v="West India"/>
    <n v="1"/>
    <s v="OK"/>
    <n v="4.2481095605067205"/>
    <n v="16.285008938452371"/>
    <n v="57.449032932566645"/>
    <n v="41.037306642402186"/>
    <n v="2621.0026864304168"/>
    <n v="27.210026864304165"/>
  </r>
  <r>
    <d v="2024-08-09T00:00:00"/>
    <s v="AD001"/>
    <s v="UG Admission"/>
    <x v="1"/>
    <s v="17–21 Age"/>
    <n v="61270"/>
    <n v="3608"/>
    <n v="771"/>
    <n v="487"/>
    <n v="203"/>
    <n v="48486.67"/>
    <n v="1016705.47"/>
    <s v="South India"/>
    <n v="1"/>
    <s v="OK"/>
    <n v="5.8886894075403946"/>
    <n v="21.369179600886916"/>
    <n v="63.164721141374834"/>
    <n v="41.683778234086247"/>
    <n v="1996.8762548552004"/>
    <n v="20.968762548552004"/>
  </r>
  <r>
    <d v="2024-08-09T00:00:00"/>
    <s v="AD005"/>
    <s v="Semester Exchange Program"/>
    <x v="2"/>
    <s v="25–35 Age"/>
    <n v="175935"/>
    <n v="8558"/>
    <n v="1832"/>
    <n v="1035"/>
    <n v="601"/>
    <n v="163462.72"/>
    <n v="2873827.39"/>
    <s v="East India"/>
    <n v="1"/>
    <s v="OK"/>
    <n v="4.864296473129281"/>
    <n v="21.40687076419724"/>
    <n v="56.495633187772931"/>
    <n v="58.067632850241544"/>
    <n v="1658.0934600868013"/>
    <n v="17.580934600868016"/>
  </r>
  <r>
    <d v="2024-08-10T00:00:00"/>
    <s v="AD001"/>
    <s v="UG Admission"/>
    <x v="1"/>
    <s v="17–21 Age"/>
    <n v="270202"/>
    <n v="19267"/>
    <n v="3864"/>
    <n v="1957"/>
    <n v="1169"/>
    <n v="132916.07999999999"/>
    <n v="5811867.04"/>
    <s v="Pan India"/>
    <n v="1"/>
    <s v="OK"/>
    <n v="7.1305911873339207"/>
    <n v="20.055016349198109"/>
    <n v="50.646997929606627"/>
    <n v="59.73428717424629"/>
    <n v="4272.5838438810424"/>
    <n v="43.72583843881042"/>
  </r>
  <r>
    <d v="2024-08-10T00:00:00"/>
    <s v="AD005"/>
    <s v="Semester Exchange Program"/>
    <x v="2"/>
    <s v="17–21 Age"/>
    <n v="70308"/>
    <n v="4870"/>
    <n v="930"/>
    <n v="492"/>
    <n v="251"/>
    <n v="51723.19"/>
    <n v="1262103.52"/>
    <s v="South India"/>
    <n v="1"/>
    <s v="OK"/>
    <n v="6.9266655288160655"/>
    <n v="19.096509240246405"/>
    <n v="52.903225806451616"/>
    <n v="51.016260162601625"/>
    <n v="2340.1115244438715"/>
    <n v="24.401115244438714"/>
  </r>
  <r>
    <d v="2024-08-11T00:00:00"/>
    <s v="AD001"/>
    <s v="UG Admission"/>
    <x v="1"/>
    <s v="17–21 Age"/>
    <n v="206790"/>
    <n v="15329"/>
    <n v="3569"/>
    <n v="2038"/>
    <n v="1076"/>
    <n v="151435.23000000001"/>
    <n v="8479988.8300000001"/>
    <s v="South India"/>
    <n v="1"/>
    <s v="OK"/>
    <n v="7.4128342763189705"/>
    <n v="23.282666840628874"/>
    <n v="57.102829924348555"/>
    <n v="52.796859666339543"/>
    <n v="5499.746393226992"/>
    <n v="55.997463932269916"/>
  </r>
  <r>
    <d v="2024-08-11T00:00:00"/>
    <s v="AD005"/>
    <s v="Semester Exchange Program"/>
    <x v="2"/>
    <s v="25–35 Age"/>
    <n v="239465"/>
    <n v="10006"/>
    <n v="1533"/>
    <n v="767"/>
    <n v="445"/>
    <n v="119177.15"/>
    <n v="3554173.67"/>
    <s v="North India"/>
    <n v="1"/>
    <s v="OK"/>
    <n v="4.1784811976698055"/>
    <n v="15.320807515490706"/>
    <n v="50.032615786040445"/>
    <n v="58.018252933507178"/>
    <n v="2882.2610038921052"/>
    <n v="29.822610038921052"/>
  </r>
  <r>
    <d v="2024-08-12T00:00:00"/>
    <s v="AD001"/>
    <s v="UG Admission"/>
    <x v="1"/>
    <s v="17–21 Age"/>
    <n v="143259"/>
    <n v="4765"/>
    <n v="1041"/>
    <n v="609"/>
    <n v="246"/>
    <n v="103534"/>
    <n v="1950084.07"/>
    <s v="Pan India"/>
    <n v="1"/>
    <s v="OK"/>
    <n v="3.3261435581708652"/>
    <n v="21.846799580272823"/>
    <n v="58.501440922190206"/>
    <n v="40.39408866995074"/>
    <n v="1783.5204570479264"/>
    <n v="18.835204570479263"/>
  </r>
  <r>
    <d v="2024-08-12T00:00:00"/>
    <s v="AD005"/>
    <s v="Semester Exchange Program"/>
    <x v="2"/>
    <s v="25–35 Age"/>
    <n v="60504"/>
    <n v="2239"/>
    <n v="539"/>
    <n v="322"/>
    <n v="184"/>
    <n v="54506.92"/>
    <n v="1051156.08"/>
    <s v="Pan India"/>
    <n v="1"/>
    <s v="OK"/>
    <n v="3.7005817797170435"/>
    <n v="24.073246985261278"/>
    <n v="59.740259740259738"/>
    <n v="57.142857142857139"/>
    <n v="1828.4818881712636"/>
    <n v="19.284818881712635"/>
  </r>
  <r>
    <d v="2024-08-13T00:00:00"/>
    <s v="AD001"/>
    <s v="UG Admission"/>
    <x v="1"/>
    <s v="17–21 Age"/>
    <n v="203962"/>
    <n v="9650"/>
    <n v="2394"/>
    <n v="1402"/>
    <n v="591"/>
    <n v="143265.17000000001"/>
    <n v="2808713.52"/>
    <s v="North India"/>
    <n v="1"/>
    <s v="OK"/>
    <n v="4.7312734725095851"/>
    <n v="24.808290155440417"/>
    <n v="58.563074352548043"/>
    <n v="42.154065620542077"/>
    <n v="1860.4999037798229"/>
    <n v="19.60499903779823"/>
  </r>
  <r>
    <d v="2024-08-13T00:00:00"/>
    <s v="AD005"/>
    <s v="Semester Exchange Program"/>
    <x v="2"/>
    <s v="17–21 Age"/>
    <n v="140195"/>
    <n v="9654"/>
    <n v="1913"/>
    <n v="1044"/>
    <n v="524"/>
    <n v="78718.460000000006"/>
    <n v="3267340.14"/>
    <s v="West India"/>
    <n v="1"/>
    <s v="OK"/>
    <n v="6.886122900246086"/>
    <n v="19.815620468199711"/>
    <n v="54.573967590172501"/>
    <n v="50.191570881226056"/>
    <n v="4050.6657269463858"/>
    <n v="41.506657269463858"/>
  </r>
  <r>
    <d v="2024-08-14T00:00:00"/>
    <s v="AD001"/>
    <s v="UG Admission"/>
    <x v="1"/>
    <s v="17–21 Age"/>
    <n v="93684"/>
    <n v="5805"/>
    <n v="1305"/>
    <n v="670"/>
    <n v="372"/>
    <n v="41067.660000000003"/>
    <n v="1553036.39"/>
    <s v="West India"/>
    <n v="1"/>
    <s v="OK"/>
    <n v="6.1963622390162678"/>
    <n v="22.480620155038761"/>
    <n v="51.340996168582379"/>
    <n v="55.522388059701491"/>
    <n v="3681.6529843677481"/>
    <n v="37.816529843677479"/>
  </r>
  <r>
    <d v="2024-08-14T00:00:00"/>
    <s v="AD005"/>
    <s v="Semester Exchange Program"/>
    <x v="2"/>
    <s v="25–35 Age"/>
    <n v="184290"/>
    <n v="10858"/>
    <n v="2176"/>
    <n v="991"/>
    <n v="427"/>
    <n v="163226.63"/>
    <n v="1995132.12"/>
    <s v="South India"/>
    <n v="1"/>
    <s v="OK"/>
    <n v="5.8918009658690114"/>
    <n v="20.040523116596059"/>
    <n v="45.54227941176471"/>
    <n v="43.087790110998995"/>
    <n v="1122.3079775646904"/>
    <n v="12.223079775646903"/>
  </r>
  <r>
    <d v="2024-08-15T00:00:00"/>
    <s v="AD001"/>
    <s v="UG Admission"/>
    <x v="1"/>
    <s v="17–21 Age"/>
    <n v="246897"/>
    <n v="8565"/>
    <n v="2017"/>
    <n v="1112"/>
    <n v="614"/>
    <n v="246807.4"/>
    <n v="4424382.49"/>
    <s v="North India"/>
    <n v="1"/>
    <s v="OK"/>
    <n v="3.4690579472411573"/>
    <n v="23.54932866316404"/>
    <n v="55.13138324243927"/>
    <n v="55.2158273381295"/>
    <n v="1692.6457999233414"/>
    <n v="17.926457999233413"/>
  </r>
  <r>
    <d v="2024-08-15T00:00:00"/>
    <s v="AD005"/>
    <s v="Semester Exchange Program"/>
    <x v="2"/>
    <s v="17–21 Age"/>
    <n v="75772"/>
    <n v="2986"/>
    <n v="585"/>
    <n v="343"/>
    <n v="194"/>
    <n v="50358.62"/>
    <n v="1510026.78"/>
    <s v="North India"/>
    <n v="1"/>
    <s v="OK"/>
    <n v="3.9407696774534129"/>
    <n v="19.591426657736104"/>
    <n v="58.632478632478637"/>
    <n v="56.559766763848394"/>
    <n v="2898.5467830532289"/>
    <n v="29.98546783053229"/>
  </r>
  <r>
    <d v="2024-08-16T00:00:00"/>
    <s v="AD001"/>
    <s v="UG Admission"/>
    <x v="1"/>
    <s v="17–21 Age"/>
    <n v="259857"/>
    <n v="18951"/>
    <n v="3776"/>
    <n v="2370"/>
    <n v="1066"/>
    <n v="110740.59"/>
    <n v="3876986.66"/>
    <s v="North India"/>
    <n v="1"/>
    <s v="OK"/>
    <n v="7.2928572253200805"/>
    <n v="19.925069917154765"/>
    <n v="62.764830508474581"/>
    <n v="44.978902953586498"/>
    <n v="3400.9626190360741"/>
    <n v="35.009626190360734"/>
  </r>
  <r>
    <d v="2024-08-16T00:00:00"/>
    <s v="AD005"/>
    <s v="Semester Exchange Program"/>
    <x v="2"/>
    <s v="25–35 Age"/>
    <n v="147185"/>
    <n v="8624"/>
    <n v="2052"/>
    <n v="1243"/>
    <n v="630"/>
    <n v="102580.43"/>
    <n v="3446317.81"/>
    <s v="West India"/>
    <n v="1"/>
    <s v="OK"/>
    <n v="5.8592927268403709"/>
    <n v="23.794063079777366"/>
    <n v="60.575048732943472"/>
    <n v="50.683829444891394"/>
    <n v="3259.6250376411954"/>
    <n v="33.596250376411959"/>
  </r>
  <r>
    <d v="2024-08-17T00:00:00"/>
    <s v="AD001"/>
    <s v="UG Admission"/>
    <x v="1"/>
    <s v="17–21 Age"/>
    <n v="160425"/>
    <n v="11372"/>
    <n v="2306"/>
    <n v="1230"/>
    <n v="588"/>
    <n v="133747.28"/>
    <n v="2831000.7"/>
    <s v="North India"/>
    <n v="1"/>
    <s v="OK"/>
    <n v="7.0886707184042388"/>
    <n v="20.277875483644038"/>
    <n v="53.33911535125759"/>
    <n v="47.804878048780488"/>
    <n v="2016.6790831185506"/>
    <n v="21.166790831185502"/>
  </r>
  <r>
    <d v="2024-08-17T00:00:00"/>
    <s v="AD005"/>
    <s v="Semester Exchange Program"/>
    <x v="2"/>
    <s v="22–27 Age"/>
    <n v="196487"/>
    <n v="8699"/>
    <n v="1691"/>
    <n v="1051"/>
    <n v="613"/>
    <n v="171743.84"/>
    <n v="3311850.86"/>
    <s v="South India"/>
    <n v="1"/>
    <s v="OK"/>
    <n v="4.4272649081109696"/>
    <n v="19.439015978848143"/>
    <n v="62.152572442341814"/>
    <n v="58.325404376784022"/>
    <n v="1828.3666069187693"/>
    <n v="19.283666069187692"/>
  </r>
  <r>
    <d v="2024-08-18T00:00:00"/>
    <s v="AD001"/>
    <s v="UG Admission"/>
    <x v="1"/>
    <s v="17–21 Age"/>
    <n v="136692"/>
    <n v="7477"/>
    <n v="1371"/>
    <n v="764"/>
    <n v="442"/>
    <n v="120425.27"/>
    <n v="2071543.89"/>
    <s v="West India"/>
    <n v="1"/>
    <s v="OK"/>
    <n v="5.4699616656424661"/>
    <n v="18.33623110873345"/>
    <n v="55.725747629467534"/>
    <n v="57.853403141361262"/>
    <n v="1620.1903637002431"/>
    <n v="17.201903637002431"/>
  </r>
  <r>
    <d v="2024-08-18T00:00:00"/>
    <s v="AD005"/>
    <s v="Semester Exchange Program"/>
    <x v="2"/>
    <s v="25–35 Age"/>
    <n v="254671"/>
    <n v="15131"/>
    <n v="3100"/>
    <n v="1454"/>
    <n v="638"/>
    <n v="167140.01"/>
    <n v="4151995.55"/>
    <s v="West India"/>
    <n v="1"/>
    <s v="OK"/>
    <n v="5.941391049628737"/>
    <n v="20.487740400502279"/>
    <n v="46.903225806451616"/>
    <n v="43.878954607977995"/>
    <n v="2384.1422170550304"/>
    <n v="24.841422170550306"/>
  </r>
  <r>
    <d v="2024-08-19T00:00:00"/>
    <s v="AD001"/>
    <s v="UG Admission"/>
    <x v="1"/>
    <s v="17–21 Age"/>
    <n v="167681"/>
    <n v="13225"/>
    <n v="2990"/>
    <n v="1842"/>
    <n v="894"/>
    <n v="92404.26"/>
    <n v="6148023.7000000002"/>
    <s v="North India"/>
    <n v="1"/>
    <s v="OK"/>
    <n v="7.8869997197058703"/>
    <n v="22.608695652173914"/>
    <n v="61.605351170568554"/>
    <n v="48.534201954397396"/>
    <n v="6553.3985554345663"/>
    <n v="66.533985554345662"/>
  </r>
  <r>
    <d v="2024-08-19T00:00:00"/>
    <s v="AD005"/>
    <s v="Semester Exchange Program"/>
    <x v="2"/>
    <s v="17–21 Age"/>
    <n v="150411"/>
    <n v="8934"/>
    <n v="1854"/>
    <n v="1043"/>
    <n v="438"/>
    <n v="83953.46"/>
    <n v="3329055.06"/>
    <s v="East India"/>
    <n v="1"/>
    <s v="OK"/>
    <n v="5.939725153080559"/>
    <n v="20.752182672934854"/>
    <n v="56.256742179072269"/>
    <n v="41.994247363374882"/>
    <n v="3865.3577827524914"/>
    <n v="39.653577827524913"/>
  </r>
  <r>
    <d v="2024-08-20T00:00:00"/>
    <s v="AD001"/>
    <s v="UG Admission"/>
    <x v="1"/>
    <s v="17–21 Age"/>
    <n v="50916"/>
    <n v="2686"/>
    <n v="642"/>
    <n v="387"/>
    <n v="160"/>
    <n v="34435.4"/>
    <n v="774444.94"/>
    <s v="North India"/>
    <n v="1"/>
    <s v="OK"/>
    <n v="5.2753554874695574"/>
    <n v="23.901712583767683"/>
    <n v="60.280373831775705"/>
    <n v="41.343669250645995"/>
    <n v="2148.9790738600391"/>
    <n v="22.489790738600391"/>
  </r>
  <r>
    <d v="2024-08-20T00:00:00"/>
    <s v="AD005"/>
    <s v="Semester Exchange Program"/>
    <x v="2"/>
    <s v="22–27 Age"/>
    <n v="266600"/>
    <n v="18274"/>
    <n v="4074"/>
    <n v="2224"/>
    <n v="907"/>
    <n v="192783.02"/>
    <n v="4819731.1399999997"/>
    <s v="South India"/>
    <n v="1"/>
    <s v="OK"/>
    <n v="6.8544636159039758"/>
    <n v="22.293969574258512"/>
    <n v="54.590083456062835"/>
    <n v="40.782374100719423"/>
    <n v="2400.0807332513"/>
    <n v="25.000807332512998"/>
  </r>
  <r>
    <d v="2024-08-21T00:00:00"/>
    <s v="AD001"/>
    <s v="UG Admission"/>
    <x v="1"/>
    <s v="17–21 Age"/>
    <n v="246115"/>
    <n v="17238"/>
    <n v="2715"/>
    <n v="1569"/>
    <n v="816"/>
    <n v="239237.62"/>
    <n v="5018704.7300000004"/>
    <s v="East India"/>
    <n v="1"/>
    <s v="OK"/>
    <n v="7.0040428255084013"/>
    <n v="15.750087017055343"/>
    <n v="57.790055248618785"/>
    <n v="52.007648183556412"/>
    <n v="1997.7907780557257"/>
    <n v="20.977907780557256"/>
  </r>
  <r>
    <d v="2024-08-21T00:00:00"/>
    <s v="AD005"/>
    <s v="Semester Exchange Program"/>
    <x v="2"/>
    <s v="17–21 Age"/>
    <n v="286047"/>
    <n v="14611"/>
    <n v="3332"/>
    <n v="1656"/>
    <n v="978"/>
    <n v="195179.76"/>
    <n v="5342189.13"/>
    <s v="North India"/>
    <n v="1"/>
    <s v="OK"/>
    <n v="5.107901848297657"/>
    <n v="22.804736157689412"/>
    <n v="49.69987995198079"/>
    <n v="59.05797101449275"/>
    <n v="2637.0610200565879"/>
    <n v="27.370610200565878"/>
  </r>
  <r>
    <d v="2024-08-22T00:00:00"/>
    <s v="AD001"/>
    <s v="UG Admission"/>
    <x v="1"/>
    <s v="17–21 Age"/>
    <n v="55434"/>
    <n v="3340"/>
    <n v="628"/>
    <n v="299"/>
    <n v="157"/>
    <n v="47688.639999999999"/>
    <n v="567663.31000000006"/>
    <s v="Pan India"/>
    <n v="1"/>
    <s v="OK"/>
    <n v="6.0251831006241661"/>
    <n v="18.802395209580837"/>
    <n v="47.611464968152866"/>
    <n v="52.508361204013376"/>
    <n v="1090.3533210424957"/>
    <n v="11.903533210424959"/>
  </r>
  <r>
    <d v="2024-08-22T00:00:00"/>
    <s v="AD005"/>
    <s v="Semester Exchange Program"/>
    <x v="2"/>
    <s v="17–21 Age"/>
    <n v="138420"/>
    <n v="9190"/>
    <n v="1758"/>
    <n v="895"/>
    <n v="476"/>
    <n v="121775.58"/>
    <n v="3796435.52"/>
    <s v="South India"/>
    <n v="1"/>
    <s v="OK"/>
    <n v="6.6392139864181479"/>
    <n v="19.12948857453754"/>
    <n v="50.91012514220705"/>
    <n v="53.184357541899438"/>
    <n v="3017.5671838311096"/>
    <n v="31.175671838311096"/>
  </r>
  <r>
    <d v="2024-08-23T00:00:00"/>
    <s v="AD001"/>
    <s v="UG Admission"/>
    <x v="1"/>
    <s v="17–21 Age"/>
    <n v="212121"/>
    <n v="8521"/>
    <n v="1831"/>
    <n v="1065"/>
    <n v="523"/>
    <n v="210422.93"/>
    <n v="1816349.21"/>
    <s v="South India"/>
    <n v="1"/>
    <s v="OK"/>
    <n v="4.0170468741897318"/>
    <n v="21.488088252552519"/>
    <n v="58.164937192790823"/>
    <n v="49.10798122065728"/>
    <n v="763.18977214127756"/>
    <n v="8.6318977214127752"/>
  </r>
  <r>
    <d v="2024-08-23T00:00:00"/>
    <s v="AD005"/>
    <s v="Semester Exchange Program"/>
    <x v="2"/>
    <s v="22–27 Age"/>
    <n v="174155"/>
    <n v="7729"/>
    <n v="1269"/>
    <n v="726"/>
    <n v="423"/>
    <n v="114529.99"/>
    <n v="1755445.01"/>
    <s v="South India"/>
    <n v="1"/>
    <s v="OK"/>
    <n v="4.4380006316212572"/>
    <n v="16.418682882649762"/>
    <n v="57.210401891252957"/>
    <n v="58.264462809917347"/>
    <n v="1432.7382897702164"/>
    <n v="15.327382897702165"/>
  </r>
  <r>
    <d v="2024-08-24T00:00:00"/>
    <s v="AD001"/>
    <s v="UG Admission"/>
    <x v="1"/>
    <s v="17–21 Age"/>
    <n v="298055"/>
    <n v="23238"/>
    <n v="3774"/>
    <n v="2035"/>
    <n v="1015"/>
    <n v="255249.45"/>
    <n v="5574248.1399999997"/>
    <s v="West India"/>
    <n v="1"/>
    <s v="OK"/>
    <n v="7.7965476170505452"/>
    <n v="16.240640330493157"/>
    <n v="53.921568627450981"/>
    <n v="49.877149877149876"/>
    <n v="2083.8433501032023"/>
    <n v="21.838433501032029"/>
  </r>
  <r>
    <d v="2024-08-24T00:00:00"/>
    <s v="AD005"/>
    <s v="Semester Exchange Program"/>
    <x v="2"/>
    <s v="17–21 Age"/>
    <n v="73433"/>
    <n v="3246"/>
    <n v="574"/>
    <n v="335"/>
    <n v="163"/>
    <n v="43645.42"/>
    <n v="1029954.06"/>
    <s v="Pan India"/>
    <n v="1"/>
    <s v="OK"/>
    <n v="4.4203559707488456"/>
    <n v="17.683302526186075"/>
    <n v="58.362369337979089"/>
    <n v="48.656716417910445"/>
    <n v="2259.8216261866655"/>
    <n v="23.598216261866654"/>
  </r>
  <r>
    <d v="2024-08-25T00:00:00"/>
    <s v="AD001"/>
    <s v="UG Admission"/>
    <x v="1"/>
    <s v="17–21 Age"/>
    <n v="273318"/>
    <n v="12830"/>
    <n v="2725"/>
    <n v="1477"/>
    <n v="719"/>
    <n v="249800.87"/>
    <n v="3360100.1"/>
    <s v="West India"/>
    <n v="1"/>
    <s v="OK"/>
    <n v="4.6941657702749175"/>
    <n v="21.239282930631333"/>
    <n v="54.201834862385326"/>
    <n v="48.679756262694653"/>
    <n v="1245.111448170697"/>
    <n v="13.45111448170697"/>
  </r>
  <r>
    <d v="2024-08-25T00:00:00"/>
    <s v="AD005"/>
    <s v="Semester Exchange Program"/>
    <x v="2"/>
    <s v="17–21 Age"/>
    <n v="190927"/>
    <n v="8324"/>
    <n v="1746"/>
    <n v="1040"/>
    <n v="502"/>
    <n v="153681.46"/>
    <n v="1737263.59"/>
    <s v="West India"/>
    <n v="1"/>
    <s v="OK"/>
    <n v="4.359781487165252"/>
    <n v="20.975492551657858"/>
    <n v="59.564719358533793"/>
    <n v="48.269230769230766"/>
    <n v="1030.431471694764"/>
    <n v="11.304314716947641"/>
  </r>
  <r>
    <d v="2024-08-26T00:00:00"/>
    <s v="AD001"/>
    <s v="UG Admission"/>
    <x v="1"/>
    <s v="17–21 Age"/>
    <n v="280548"/>
    <n v="22400"/>
    <n v="3381"/>
    <n v="2001"/>
    <n v="1115"/>
    <n v="243363.91"/>
    <n v="7580435.5999999996"/>
    <s v="Pan India"/>
    <n v="1"/>
    <s v="OK"/>
    <n v="7.984373440552063"/>
    <n v="15.09375"/>
    <n v="59.183673469387756"/>
    <n v="55.72213893053474"/>
    <n v="3014.8561017120405"/>
    <n v="31.148561017120407"/>
  </r>
  <r>
    <d v="2024-08-26T00:00:00"/>
    <s v="AD005"/>
    <s v="Semester Exchange Program"/>
    <x v="2"/>
    <s v="17–21 Age"/>
    <n v="285397"/>
    <n v="15333"/>
    <n v="2569"/>
    <n v="1619"/>
    <n v="881"/>
    <n v="167612.44"/>
    <n v="5312696.4800000004"/>
    <s v="Pan India"/>
    <n v="1"/>
    <s v="OK"/>
    <n v="5.3725161792170208"/>
    <n v="16.754712058957804"/>
    <n v="63.02063059556248"/>
    <n v="54.416306361951825"/>
    <n v="3069.6313710366608"/>
    <n v="31.696313710366606"/>
  </r>
  <r>
    <d v="2024-08-27T00:00:00"/>
    <s v="AD001"/>
    <s v="UG Admission"/>
    <x v="1"/>
    <s v="17–21 Age"/>
    <n v="230587"/>
    <n v="11780"/>
    <n v="2103"/>
    <n v="985"/>
    <n v="557"/>
    <n v="170545.05"/>
    <n v="2172105.58"/>
    <s v="North India"/>
    <n v="1"/>
    <s v="OK"/>
    <n v="5.1087008374279552"/>
    <n v="17.852292020373515"/>
    <n v="46.837850689491198"/>
    <n v="56.548223350253814"/>
    <n v="1173.6256959671359"/>
    <n v="12.73625695967136"/>
  </r>
  <r>
    <d v="2024-08-27T00:00:00"/>
    <s v="AD005"/>
    <s v="Semester Exchange Program"/>
    <x v="2"/>
    <s v="22–27 Age"/>
    <n v="239102"/>
    <n v="11777"/>
    <n v="2683"/>
    <n v="1443"/>
    <n v="793"/>
    <n v="178773.39"/>
    <n v="6237099.54"/>
    <s v="South India"/>
    <n v="1"/>
    <s v="OK"/>
    <n v="4.925512960995726"/>
    <n v="22.781693130678441"/>
    <n v="53.783078643309722"/>
    <n v="54.954954954954957"/>
    <n v="3388.8299315686745"/>
    <n v="34.888299315686744"/>
  </r>
  <r>
    <d v="2024-08-28T00:00:00"/>
    <s v="AD001"/>
    <s v="UG Admission"/>
    <x v="1"/>
    <s v="17–21 Age"/>
    <n v="122769"/>
    <n v="4992"/>
    <n v="1154"/>
    <n v="639"/>
    <n v="335"/>
    <n v="76198.02"/>
    <n v="1803614.19"/>
    <s v="East India"/>
    <n v="1"/>
    <s v="OK"/>
    <n v="4.0661730567162717"/>
    <n v="23.116987179487182"/>
    <n v="55.372616984402079"/>
    <n v="52.425665101721442"/>
    <n v="2267.0092608705577"/>
    <n v="23.670092608705577"/>
  </r>
  <r>
    <d v="2024-08-28T00:00:00"/>
    <s v="AD005"/>
    <s v="Semester Exchange Program"/>
    <x v="2"/>
    <s v="25–35 Age"/>
    <n v="118445"/>
    <n v="9312"/>
    <n v="1796"/>
    <n v="862"/>
    <n v="394"/>
    <n v="53888.89"/>
    <n v="1248957.4099999999"/>
    <s v="Pan India"/>
    <n v="1"/>
    <s v="OK"/>
    <n v="7.861876820465195"/>
    <n v="19.286941580756015"/>
    <n v="47.99554565701559"/>
    <n v="45.707656612529"/>
    <n v="2217.6528779865384"/>
    <n v="23.176528779865386"/>
  </r>
  <r>
    <d v="2024-08-29T00:00:00"/>
    <s v="AD001"/>
    <s v="UG Admission"/>
    <x v="1"/>
    <s v="17–21 Age"/>
    <n v="176924"/>
    <n v="6002"/>
    <n v="1405"/>
    <n v="726"/>
    <n v="305"/>
    <n v="149271.1"/>
    <n v="1316066.43"/>
    <s v="Pan India"/>
    <n v="1"/>
    <s v="OK"/>
    <n v="3.3924170830413063"/>
    <n v="23.408863712095968"/>
    <n v="51.67259786476869"/>
    <n v="42.011019283746556"/>
    <n v="781.66190910363753"/>
    <n v="8.816619091036376"/>
  </r>
  <r>
    <d v="2024-08-29T00:00:00"/>
    <s v="AD005"/>
    <s v="Semester Exchange Program"/>
    <x v="2"/>
    <s v="17–21 Age"/>
    <n v="141835"/>
    <n v="4781"/>
    <n v="815"/>
    <n v="412"/>
    <n v="201"/>
    <n v="71163.259999999995"/>
    <n v="1195976.69"/>
    <s v="East India"/>
    <n v="1"/>
    <s v="OK"/>
    <n v="3.3708182042514192"/>
    <n v="17.046642961723489"/>
    <n v="50.552147239263803"/>
    <n v="48.786407766990294"/>
    <n v="1580.6097556520037"/>
    <n v="16.806097556520037"/>
  </r>
  <r>
    <d v="2024-08-30T00:00:00"/>
    <s v="AD001"/>
    <s v="UG Admission"/>
    <x v="1"/>
    <s v="17–21 Age"/>
    <n v="89353"/>
    <n v="3461"/>
    <n v="777"/>
    <n v="423"/>
    <n v="218"/>
    <n v="68408.44"/>
    <n v="1404431.2"/>
    <s v="East India"/>
    <n v="1"/>
    <s v="OK"/>
    <n v="3.8734010050026302"/>
    <n v="22.450158913608785"/>
    <n v="54.440154440154444"/>
    <n v="51.536643026004725"/>
    <n v="1953.0086638432333"/>
    <n v="20.530086638432334"/>
  </r>
  <r>
    <d v="2024-08-30T00:00:00"/>
    <s v="AD005"/>
    <s v="Semester Exchange Program"/>
    <x v="2"/>
    <s v="25–35 Age"/>
    <n v="172603"/>
    <n v="13771"/>
    <n v="3131"/>
    <n v="1756"/>
    <n v="957"/>
    <n v="123949.96"/>
    <n v="7284646.5"/>
    <s v="West India"/>
    <n v="1"/>
    <s v="OK"/>
    <n v="7.9784244769789643"/>
    <n v="22.736184736039501"/>
    <n v="56.084318109230281"/>
    <n v="54.498861047835987"/>
    <n v="5777.0866081763961"/>
    <n v="58.770866081763963"/>
  </r>
  <r>
    <d v="2024-08-31T00:00:00"/>
    <s v="AD001"/>
    <s v="UG Admission"/>
    <x v="1"/>
    <s v="17–21 Age"/>
    <n v="275170"/>
    <n v="8309"/>
    <n v="2008"/>
    <n v="1217"/>
    <n v="654"/>
    <n v="116652.11"/>
    <n v="2196952.4"/>
    <s v="North India"/>
    <n v="1"/>
    <s v="OK"/>
    <n v="3.0195878911218519"/>
    <n v="24.166566373811531"/>
    <n v="60.607569721115539"/>
    <n v="53.738701725554641"/>
    <n v="1783.3370437962931"/>
    <n v="18.83337043796293"/>
  </r>
  <r>
    <d v="2024-08-31T00:00:00"/>
    <s v="AD005"/>
    <s v="Semester Exchange Program"/>
    <x v="2"/>
    <s v="25–35 Age"/>
    <n v="188007"/>
    <n v="12565"/>
    <n v="2831"/>
    <n v="1364"/>
    <n v="556"/>
    <n v="100933.35"/>
    <n v="2063936.01"/>
    <s v="North India"/>
    <n v="1"/>
    <s v="OK"/>
    <n v="6.6832617934438607"/>
    <n v="22.530839633903703"/>
    <n v="48.1808548216178"/>
    <n v="40.762463343108507"/>
    <n v="1944.8503988027742"/>
    <n v="20.448503988027742"/>
  </r>
  <r>
    <d v="2024-09-01T00:00:00"/>
    <s v="AD005"/>
    <s v="Semester Exchange Program"/>
    <x v="2"/>
    <s v="25–35 Age"/>
    <n v="277995"/>
    <n v="17323"/>
    <n v="3307"/>
    <n v="1962"/>
    <n v="807"/>
    <n v="119949.55"/>
    <n v="3907589.22"/>
    <s v="East India"/>
    <n v="1"/>
    <s v="OK"/>
    <n v="6.2314070396949583"/>
    <n v="19.09022686601628"/>
    <n v="59.328696703961292"/>
    <n v="41.131498470948017"/>
    <n v="3157.693938826782"/>
    <n v="32.576939388267817"/>
  </r>
  <r>
    <d v="2024-09-02T00:00:00"/>
    <s v="AD005"/>
    <s v="Semester Exchange Program"/>
    <x v="2"/>
    <s v="17–21 Age"/>
    <n v="204641"/>
    <n v="14981"/>
    <n v="3396"/>
    <n v="1681"/>
    <n v="682"/>
    <n v="155414.22"/>
    <n v="5373759.0999999996"/>
    <s v="Pan India"/>
    <n v="1"/>
    <s v="OK"/>
    <n v="7.3206248992137457"/>
    <n v="22.668713704025098"/>
    <n v="49.499411071849238"/>
    <n v="40.571088637715647"/>
    <n v="3357.7010391970566"/>
    <n v="34.577010391970568"/>
  </r>
  <r>
    <d v="2024-09-03T00:00:00"/>
    <s v="AD005"/>
    <s v="Semester Exchange Program"/>
    <x v="2"/>
    <s v="22–27 Age"/>
    <n v="80461"/>
    <n v="5310"/>
    <n v="1043"/>
    <n v="626"/>
    <n v="251"/>
    <n v="56362.02"/>
    <n v="988491.69"/>
    <s v="East India"/>
    <n v="1"/>
    <s v="OK"/>
    <n v="6.5994705509501497"/>
    <n v="19.642184557438792"/>
    <n v="60.019175455417063"/>
    <n v="40.095846645367409"/>
    <n v="1653.8258742323287"/>
    <n v="17.538258742323286"/>
  </r>
  <r>
    <d v="2024-09-04T00:00:00"/>
    <s v="AD005"/>
    <s v="Semester Exchange Program"/>
    <x v="2"/>
    <s v="17–21 Age"/>
    <n v="225116"/>
    <n v="11836"/>
    <n v="2871"/>
    <n v="1828"/>
    <n v="993"/>
    <n v="145813.18"/>
    <n v="7254951.4199999999"/>
    <s v="South India"/>
    <n v="1"/>
    <s v="OK"/>
    <n v="5.2577337905790795"/>
    <n v="24.25650557620818"/>
    <n v="63.671194705677472"/>
    <n v="54.321663019693659"/>
    <n v="4875.5114181036315"/>
    <n v="49.755114181036312"/>
  </r>
  <r>
    <d v="2024-09-05T00:00:00"/>
    <s v="AD005"/>
    <s v="Semester Exchange Program"/>
    <x v="2"/>
    <s v="17–21 Age"/>
    <n v="116737"/>
    <n v="9182"/>
    <n v="1836"/>
    <n v="1173"/>
    <n v="621"/>
    <n v="99175.679999999993"/>
    <n v="2537615.16"/>
    <s v="South India"/>
    <n v="1"/>
    <s v="OK"/>
    <n v="7.8655439149541273"/>
    <n v="19.995643650620778"/>
    <n v="63.888888888888886"/>
    <n v="52.941176470588239"/>
    <n v="2458.7070943198983"/>
    <n v="25.587070943198981"/>
  </r>
  <r>
    <d v="2024-09-06T00:00:00"/>
    <s v="AD005"/>
    <s v="Semester Exchange Program"/>
    <x v="2"/>
    <s v="22–27 Age"/>
    <n v="63297"/>
    <n v="4534"/>
    <n v="954"/>
    <n v="479"/>
    <n v="279"/>
    <n v="50866.84"/>
    <n v="2142106.16"/>
    <s v="Pan India"/>
    <n v="1"/>
    <s v="OK"/>
    <n v="7.1630567009494923"/>
    <n v="21.041023378914865"/>
    <n v="50.209643605870028"/>
    <n v="58.246346555323591"/>
    <n v="4111.2035266983366"/>
    <n v="42.112035266983369"/>
  </r>
  <r>
    <d v="2024-09-07T00:00:00"/>
    <s v="AD005"/>
    <s v="Semester Exchange Program"/>
    <x v="2"/>
    <s v="22–27 Age"/>
    <n v="58123"/>
    <n v="2245"/>
    <n v="487"/>
    <n v="238"/>
    <n v="102"/>
    <n v="48037.73"/>
    <n v="806657.5"/>
    <s v="West India"/>
    <n v="1"/>
    <s v="OK"/>
    <n v="3.8624984945718559"/>
    <n v="21.692650334075726"/>
    <n v="48.870636550308014"/>
    <n v="42.857142857142854"/>
    <n v="1579.2165241779742"/>
    <n v="16.792165241779742"/>
  </r>
  <r>
    <d v="2024-09-08T00:00:00"/>
    <s v="AD005"/>
    <s v="Semester Exchange Program"/>
    <x v="2"/>
    <s v="17–21 Age"/>
    <n v="245747"/>
    <n v="19560"/>
    <n v="3600"/>
    <n v="2070"/>
    <n v="927"/>
    <n v="200843.09"/>
    <n v="3867146.21"/>
    <s v="West India"/>
    <n v="1"/>
    <s v="OK"/>
    <n v="7.9594054047455316"/>
    <n v="18.404907975460123"/>
    <n v="57.499999999999993"/>
    <n v="44.782608695652179"/>
    <n v="1825.4564396514713"/>
    <n v="19.254564396514713"/>
  </r>
  <r>
    <d v="2024-09-09T00:00:00"/>
    <s v="AD005"/>
    <s v="Semester Exchange Program"/>
    <x v="2"/>
    <s v="17–21 Age"/>
    <n v="84497"/>
    <n v="2556"/>
    <n v="527"/>
    <n v="306"/>
    <n v="147"/>
    <n v="40400.53"/>
    <n v="517443.61"/>
    <s v="East India"/>
    <n v="1"/>
    <s v="OK"/>
    <n v="3.0249594660165453"/>
    <n v="20.618153364632239"/>
    <n v="58.064516129032263"/>
    <n v="48.03921568627451"/>
    <n v="1180.7842124843412"/>
    <n v="12.807842124843411"/>
  </r>
  <r>
    <d v="2024-09-10T00:00:00"/>
    <s v="AD005"/>
    <s v="Semester Exchange Program"/>
    <x v="2"/>
    <s v="17–21 Age"/>
    <n v="241659"/>
    <n v="17679"/>
    <n v="2873"/>
    <n v="1586"/>
    <n v="722"/>
    <n v="135221.60999999999"/>
    <n v="4879841.2300000004"/>
    <s v="East India"/>
    <n v="1"/>
    <s v="OK"/>
    <n v="7.3156803595148538"/>
    <n v="16.25091916963629"/>
    <n v="55.203619909502265"/>
    <n v="45.523329129886505"/>
    <n v="3508.7732057028461"/>
    <n v="36.087732057028468"/>
  </r>
  <r>
    <d v="2024-09-11T00:00:00"/>
    <s v="AD005"/>
    <s v="Semester Exchange Program"/>
    <x v="2"/>
    <s v="22–27 Age"/>
    <n v="65507"/>
    <n v="2625"/>
    <n v="419"/>
    <n v="269"/>
    <n v="116"/>
    <n v="58810.83"/>
    <n v="812926.32"/>
    <s v="West India"/>
    <n v="1"/>
    <s v="OK"/>
    <n v="4.0072053368342315"/>
    <n v="15.961904761904764"/>
    <n v="64.200477326968979"/>
    <n v="43.122676579925653"/>
    <n v="1282.2731629531497"/>
    <n v="13.822731629531498"/>
  </r>
  <r>
    <d v="2024-09-12T00:00:00"/>
    <s v="AD005"/>
    <s v="Semester Exchange Program"/>
    <x v="2"/>
    <s v="17–21 Age"/>
    <n v="89606"/>
    <n v="3064"/>
    <n v="523"/>
    <n v="302"/>
    <n v="174"/>
    <n v="82237.509999999995"/>
    <n v="1090015.6399999999"/>
    <s v="Pan India"/>
    <n v="1"/>
    <s v="OK"/>
    <n v="3.4194138785349195"/>
    <n v="17.069190600522195"/>
    <n v="57.743785850860419"/>
    <n v="57.615894039735096"/>
    <n v="1225.4482534794645"/>
    <n v="13.254482534794645"/>
  </r>
  <r>
    <d v="2024-09-13T00:00:00"/>
    <s v="AD005"/>
    <s v="Semester Exchange Program"/>
    <x v="2"/>
    <s v="25–35 Age"/>
    <n v="288944"/>
    <n v="22296"/>
    <n v="3936"/>
    <n v="2456"/>
    <n v="1336"/>
    <n v="268441.11"/>
    <n v="10200618.609999999"/>
    <s v="North India"/>
    <n v="1"/>
    <s v="OK"/>
    <n v="7.7163741070934151"/>
    <n v="17.653390742734125"/>
    <n v="62.398373983739845"/>
    <n v="54.397394136807819"/>
    <n v="3699.9465171336838"/>
    <n v="37.999465171336837"/>
  </r>
  <r>
    <d v="2024-09-14T00:00:00"/>
    <s v="AD005"/>
    <s v="Semester Exchange Program"/>
    <x v="2"/>
    <s v="25–35 Age"/>
    <n v="61065"/>
    <n v="3349"/>
    <n v="511"/>
    <n v="253"/>
    <n v="103"/>
    <n v="50674.5"/>
    <n v="618470.9"/>
    <s v="East India"/>
    <n v="1"/>
    <s v="OK"/>
    <n v="5.4843199868992061"/>
    <n v="15.258286055538967"/>
    <n v="49.510763209393346"/>
    <n v="40.711462450592883"/>
    <n v="1120.4775577460064"/>
    <n v="12.204775577460063"/>
  </r>
  <r>
    <d v="2024-09-15T00:00:00"/>
    <s v="AD005"/>
    <s v="Semester Exchange Program"/>
    <x v="2"/>
    <s v="17–21 Age"/>
    <n v="52998"/>
    <n v="2691"/>
    <n v="556"/>
    <n v="360"/>
    <n v="169"/>
    <n v="42374.05"/>
    <n v="1263776.46"/>
    <s v="South India"/>
    <n v="1"/>
    <s v="OK"/>
    <n v="5.0775500962300466"/>
    <n v="20.661464139725009"/>
    <n v="64.748201438848923"/>
    <n v="46.944444444444443"/>
    <n v="2882.4301901753547"/>
    <n v="29.824301901753547"/>
  </r>
  <r>
    <d v="2024-09-16T00:00:00"/>
    <s v="AD005"/>
    <s v="Semester Exchange Program"/>
    <x v="2"/>
    <s v="17–21 Age"/>
    <n v="188733"/>
    <n v="6063"/>
    <n v="1486"/>
    <n v="848"/>
    <n v="495"/>
    <n v="117044.6"/>
    <n v="1718164.73"/>
    <s v="West India"/>
    <n v="1"/>
    <s v="OK"/>
    <n v="3.2124747659391844"/>
    <n v="24.509318819066468"/>
    <n v="57.065948855989234"/>
    <n v="58.372641509433961"/>
    <n v="1367.9572829502599"/>
    <n v="14.679572829502598"/>
  </r>
  <r>
    <d v="2024-09-17T00:00:00"/>
    <s v="AD005"/>
    <s v="Semester Exchange Program"/>
    <x v="2"/>
    <s v="22–27 Age"/>
    <n v="264523"/>
    <n v="8422"/>
    <n v="1397"/>
    <n v="690"/>
    <n v="285"/>
    <n v="174372.08"/>
    <n v="2190322.56"/>
    <s v="North India"/>
    <n v="1"/>
    <s v="OK"/>
    <n v="3.1838441269757261"/>
    <n v="16.587508905248161"/>
    <n v="49.391553328561209"/>
    <n v="41.304347826086953"/>
    <n v="1156.1199935218988"/>
    <n v="12.561199935218989"/>
  </r>
  <r>
    <d v="2024-09-18T00:00:00"/>
    <s v="AD005"/>
    <s v="Semester Exchange Program"/>
    <x v="2"/>
    <s v="17–21 Age"/>
    <n v="99863"/>
    <n v="5899"/>
    <n v="1473"/>
    <n v="894"/>
    <n v="463"/>
    <n v="73758.95"/>
    <n v="1765141.51"/>
    <s v="East India"/>
    <n v="1"/>
    <s v="OK"/>
    <n v="5.9070927170223202"/>
    <n v="24.970333954907613"/>
    <n v="60.692464358452135"/>
    <n v="51.789709172259514"/>
    <n v="2293.1217974225506"/>
    <n v="23.9312179742255"/>
  </r>
  <r>
    <d v="2024-09-19T00:00:00"/>
    <s v="AD005"/>
    <s v="Semester Exchange Program"/>
    <x v="2"/>
    <s v="25–35 Age"/>
    <n v="76229"/>
    <n v="4994"/>
    <n v="1189"/>
    <n v="748"/>
    <n v="448"/>
    <n v="38131.31"/>
    <n v="2070391.74"/>
    <s v="North India"/>
    <n v="1"/>
    <s v="OK"/>
    <n v="6.5513124926209185"/>
    <n v="23.808570284341211"/>
    <n v="62.910008410428929"/>
    <n v="59.893048128342244"/>
    <n v="5329.6370620364214"/>
    <n v="54.296370620364215"/>
  </r>
  <r>
    <d v="2024-09-20T00:00:00"/>
    <s v="AD005"/>
    <s v="Semester Exchange Program"/>
    <x v="2"/>
    <s v="17–21 Age"/>
    <n v="121757"/>
    <n v="6018"/>
    <n v="1136"/>
    <n v="664"/>
    <n v="374"/>
    <n v="107787.88"/>
    <n v="2220089.2400000002"/>
    <s v="South India"/>
    <n v="1"/>
    <s v="OK"/>
    <n v="4.9426316351421269"/>
    <n v="18.876703223662346"/>
    <n v="58.450704225352112"/>
    <n v="56.325301204819276"/>
    <n v="1959.6835562588301"/>
    <n v="20.5968355625883"/>
  </r>
  <r>
    <d v="2024-09-21T00:00:00"/>
    <s v="AD005"/>
    <s v="Semester Exchange Program"/>
    <x v="2"/>
    <s v="25–35 Age"/>
    <n v="114298"/>
    <n v="4785"/>
    <n v="1131"/>
    <n v="713"/>
    <n v="345"/>
    <n v="80918.92"/>
    <n v="2265577.65"/>
    <s v="North India"/>
    <n v="1"/>
    <s v="OK"/>
    <n v="4.1864249593168736"/>
    <n v="23.636363636363637"/>
    <n v="63.041556145004421"/>
    <n v="48.387096774193552"/>
    <n v="2699.8120217125984"/>
    <n v="27.998120217125983"/>
  </r>
  <r>
    <d v="2024-09-22T00:00:00"/>
    <s v="AD005"/>
    <s v="Semester Exchange Program"/>
    <x v="2"/>
    <s v="17–21 Age"/>
    <n v="105308"/>
    <n v="7365"/>
    <n v="1272"/>
    <n v="726"/>
    <n v="432"/>
    <n v="43967.23"/>
    <n v="2323390.4500000002"/>
    <s v="North India"/>
    <n v="1"/>
    <s v="OK"/>
    <n v="6.9937706537015227"/>
    <n v="17.270875763747455"/>
    <n v="57.075471698113212"/>
    <n v="59.504132231404959"/>
    <n v="5184.3684944446122"/>
    <n v="52.843684944446125"/>
  </r>
  <r>
    <d v="2024-09-23T00:00:00"/>
    <s v="AD005"/>
    <s v="Semester Exchange Program"/>
    <x v="2"/>
    <s v="22–27 Age"/>
    <n v="136857"/>
    <n v="9505"/>
    <n v="1522"/>
    <n v="788"/>
    <n v="362"/>
    <n v="65108.72"/>
    <n v="1489069.41"/>
    <s v="South India"/>
    <n v="1"/>
    <s v="OK"/>
    <n v="6.9452055795465348"/>
    <n v="16.012624934245135"/>
    <n v="51.773981603153743"/>
    <n v="45.939086294416242"/>
    <n v="2187.0506592665311"/>
    <n v="22.870506592665311"/>
  </r>
  <r>
    <d v="2024-09-24T00:00:00"/>
    <s v="AD005"/>
    <s v="Semester Exchange Program"/>
    <x v="2"/>
    <s v="17–21 Age"/>
    <n v="134230"/>
    <n v="8702"/>
    <n v="1365"/>
    <n v="650"/>
    <n v="332"/>
    <n v="124821.77"/>
    <n v="1474440.35"/>
    <s v="West India"/>
    <n v="1"/>
    <s v="OK"/>
    <n v="6.4829024808165086"/>
    <n v="15.68604918409561"/>
    <n v="47.619047619047613"/>
    <n v="51.076923076923073"/>
    <n v="1081.2365343000665"/>
    <n v="11.812365343000664"/>
  </r>
  <r>
    <d v="2024-09-25T00:00:00"/>
    <s v="AD005"/>
    <s v="Semester Exchange Program"/>
    <x v="2"/>
    <s v="22–27 Age"/>
    <n v="262940"/>
    <n v="21020"/>
    <n v="4963"/>
    <n v="2852"/>
    <n v="1664"/>
    <n v="200318.65"/>
    <n v="7439846.2800000003"/>
    <s v="North India"/>
    <n v="1"/>
    <s v="OK"/>
    <n v="7.9942192135087851"/>
    <n v="23.610846812559465"/>
    <n v="57.465242796695549"/>
    <n v="58.345021037868165"/>
    <n v="3614.005800258738"/>
    <n v="37.140058002587381"/>
  </r>
  <r>
    <d v="2024-09-26T00:00:00"/>
    <s v="AD005"/>
    <s v="Semester Exchange Program"/>
    <x v="2"/>
    <s v="25–35 Age"/>
    <n v="273481"/>
    <n v="17743"/>
    <n v="3097"/>
    <n v="1835"/>
    <n v="1000"/>
    <n v="262907.98"/>
    <n v="7305475.8899999997"/>
    <s v="South India"/>
    <n v="1"/>
    <s v="OK"/>
    <n v="6.4878364493328604"/>
    <n v="17.454770895564447"/>
    <n v="59.250887956086537"/>
    <n v="54.495912806539515"/>
    <n v="2678.7197216303593"/>
    <n v="27.787197216303593"/>
  </r>
  <r>
    <d v="2024-09-27T00:00:00"/>
    <s v="AD005"/>
    <s v="Semester Exchange Program"/>
    <x v="2"/>
    <s v="17–21 Age"/>
    <n v="81135"/>
    <n v="4547"/>
    <n v="1123"/>
    <n v="543"/>
    <n v="325"/>
    <n v="72931.67"/>
    <n v="1570056.62"/>
    <s v="North India"/>
    <n v="1"/>
    <s v="OK"/>
    <n v="5.6042398471682997"/>
    <n v="24.697602815042885"/>
    <n v="48.352626892252893"/>
    <n v="59.852670349907925"/>
    <n v="2052.7775519194888"/>
    <n v="21.527775519194886"/>
  </r>
  <r>
    <d v="2024-09-28T00:00:00"/>
    <s v="AD005"/>
    <s v="Semester Exchange Program"/>
    <x v="2"/>
    <s v="22–27 Age"/>
    <n v="177065"/>
    <n v="8511"/>
    <n v="1962"/>
    <n v="1141"/>
    <n v="682"/>
    <n v="126930.36"/>
    <n v="4613730.38"/>
    <s v="West India"/>
    <n v="1"/>
    <s v="OK"/>
    <n v="4.8067094005026405"/>
    <n v="23.052520267888614"/>
    <n v="58.154943934760453"/>
    <n v="59.772129710780021"/>
    <n v="3534.8517249931374"/>
    <n v="36.348517249931376"/>
  </r>
  <r>
    <d v="2024-09-29T00:00:00"/>
    <s v="AD005"/>
    <s v="Semester Exchange Program"/>
    <x v="2"/>
    <s v="17–21 Age"/>
    <n v="120820"/>
    <n v="8446"/>
    <n v="1398"/>
    <n v="808"/>
    <n v="382"/>
    <n v="96604.45"/>
    <n v="1911053.53"/>
    <s v="South India"/>
    <n v="1"/>
    <s v="OK"/>
    <n v="6.9905644760801184"/>
    <n v="16.552214065829979"/>
    <n v="57.796852646638051"/>
    <n v="47.277227722772274"/>
    <n v="1878.225154224262"/>
    <n v="19.782251542242619"/>
  </r>
  <r>
    <d v="2024-09-30T00:00:00"/>
    <s v="AD005"/>
    <s v="Semester Exchange Program"/>
    <x v="2"/>
    <s v="17–21 Age"/>
    <n v="108200"/>
    <n v="3265"/>
    <n v="588"/>
    <n v="270"/>
    <n v="146"/>
    <n v="90135.86"/>
    <n v="550296.55000000005"/>
    <s v="Pan India"/>
    <n v="1"/>
    <s v="OK"/>
    <n v="3.0175600739371533"/>
    <n v="18.009188361408881"/>
    <n v="45.91836734693878"/>
    <n v="54.074074074074076"/>
    <n v="510.51899876475363"/>
    <n v="6.1051899876475364"/>
  </r>
  <r>
    <d v="2024-10-01T00:00:00"/>
    <s v="AD005"/>
    <s v="Semester Exchange Program"/>
    <x v="2"/>
    <s v="25–35 Age"/>
    <n v="181393"/>
    <n v="7776"/>
    <n v="1216"/>
    <n v="691"/>
    <n v="308"/>
    <n v="116710.52"/>
    <n v="955852.67"/>
    <s v="South India"/>
    <n v="1"/>
    <s v="OK"/>
    <n v="4.2868247396536798"/>
    <n v="15.637860082304528"/>
    <n v="56.82565789473685"/>
    <n v="44.573082489146167"/>
    <n v="718.99444026125491"/>
    <n v="8.1899444026125501"/>
  </r>
  <r>
    <d v="2024-10-02T00:00:00"/>
    <s v="AD005"/>
    <s v="Semester Exchange Program"/>
    <x v="2"/>
    <s v="25–35 Age"/>
    <n v="188107"/>
    <n v="11836"/>
    <n v="2751"/>
    <n v="1255"/>
    <n v="668"/>
    <n v="83985.35"/>
    <n v="3644883.8"/>
    <s v="North India"/>
    <n v="1"/>
    <s v="OK"/>
    <n v="6.2921635026873011"/>
    <n v="23.242649543764784"/>
    <n v="45.619774627408219"/>
    <n v="53.227091633466138"/>
    <n v="4239.9042809251841"/>
    <n v="43.399042809251846"/>
  </r>
  <r>
    <d v="2024-10-03T00:00:00"/>
    <s v="AD005"/>
    <s v="Semester Exchange Program"/>
    <x v="2"/>
    <s v="17–21 Age"/>
    <n v="136913"/>
    <n v="4144"/>
    <n v="997"/>
    <n v="508"/>
    <n v="257"/>
    <n v="88554.32"/>
    <n v="1706756.01"/>
    <s v="South India"/>
    <n v="1"/>
    <s v="OK"/>
    <n v="3.0267396083644358"/>
    <n v="24.058880308880308"/>
    <n v="50.952858575727177"/>
    <n v="50.590551181102363"/>
    <n v="1827.3548822914568"/>
    <n v="19.273548822914567"/>
  </r>
  <r>
    <d v="2024-10-04T00:00:00"/>
    <s v="AD005"/>
    <s v="Semester Exchange Program"/>
    <x v="2"/>
    <s v="25–35 Age"/>
    <n v="275383"/>
    <n v="21966"/>
    <n v="4741"/>
    <n v="2231"/>
    <n v="912"/>
    <n v="239728.52"/>
    <n v="3926372.14"/>
    <s v="Pan India"/>
    <n v="1"/>
    <s v="OK"/>
    <n v="7.9765272366122826"/>
    <n v="21.583356095784396"/>
    <n v="47.057582788441252"/>
    <n v="40.878529807261316"/>
    <n v="1537.8410628822971"/>
    <n v="16.378410628822973"/>
  </r>
  <r>
    <d v="2024-10-05T00:00:00"/>
    <s v="AD005"/>
    <s v="Semester Exchange Program"/>
    <x v="2"/>
    <s v="25–35 Age"/>
    <n v="287478"/>
    <n v="15296"/>
    <n v="2824"/>
    <n v="1485"/>
    <n v="658"/>
    <n v="273924.01"/>
    <n v="2298553.7799999998"/>
    <s v="North India"/>
    <n v="1"/>
    <s v="OK"/>
    <n v="5.3207549795114755"/>
    <n v="18.46234309623431"/>
    <n v="52.584985835694056"/>
    <n v="44.309764309764311"/>
    <n v="739.12095913023461"/>
    <n v="8.3912095913023457"/>
  </r>
  <r>
    <d v="2024-10-06T00:00:00"/>
    <s v="AD005"/>
    <s v="Semester Exchange Program"/>
    <x v="2"/>
    <s v="25–35 Age"/>
    <n v="177706"/>
    <n v="6076"/>
    <n v="1461"/>
    <n v="913"/>
    <n v="494"/>
    <n v="142058.98000000001"/>
    <n v="1710667.68"/>
    <s v="Pan India"/>
    <n v="1"/>
    <s v="OK"/>
    <n v="3.4191304739288491"/>
    <n v="24.045424621461489"/>
    <n v="62.491444216290212"/>
    <n v="54.107338444687848"/>
    <n v="1104.1953841988727"/>
    <n v="12.041953841988727"/>
  </r>
  <r>
    <d v="2024-10-07T00:00:00"/>
    <s v="AD005"/>
    <s v="Semester Exchange Program"/>
    <x v="2"/>
    <s v="25–35 Age"/>
    <n v="295188"/>
    <n v="8972"/>
    <n v="1635"/>
    <n v="877"/>
    <n v="449"/>
    <n v="209783.61"/>
    <n v="3330514.34"/>
    <s v="East India"/>
    <n v="1"/>
    <s v="OK"/>
    <n v="3.039418946569644"/>
    <n v="18.223361569326794"/>
    <n v="53.63914373088685"/>
    <n v="51.197263397947545"/>
    <n v="1487.5951128879897"/>
    <n v="15.875951128879898"/>
  </r>
  <r>
    <d v="2024-10-08T00:00:00"/>
    <s v="AD005"/>
    <s v="Semester Exchange Program"/>
    <x v="2"/>
    <s v="25–35 Age"/>
    <n v="142451"/>
    <n v="6326"/>
    <n v="1430"/>
    <n v="782"/>
    <n v="396"/>
    <n v="65523.4"/>
    <n v="2443483.4700000002"/>
    <s v="North India"/>
    <n v="1"/>
    <s v="OK"/>
    <n v="4.4408252662318972"/>
    <n v="22.605121719886185"/>
    <n v="54.685314685314687"/>
    <n v="50.639386189258317"/>
    <n v="3629.1768589542057"/>
    <n v="37.291768589542059"/>
  </r>
  <r>
    <d v="2024-10-09T00:00:00"/>
    <s v="AD005"/>
    <s v="Semester Exchange Program"/>
    <x v="2"/>
    <s v="22–27 Age"/>
    <n v="54463"/>
    <n v="3186"/>
    <n v="540"/>
    <n v="317"/>
    <n v="161"/>
    <n v="38378.959999999999"/>
    <n v="865326.9"/>
    <s v="East India"/>
    <n v="1"/>
    <s v="OK"/>
    <n v="5.8498430126875123"/>
    <n v="16.949152542372879"/>
    <n v="58.703703703703702"/>
    <n v="50.788643533123022"/>
    <n v="2154.6908514456882"/>
    <n v="22.546908514456881"/>
  </r>
  <r>
    <d v="2024-10-10T00:00:00"/>
    <s v="AD005"/>
    <s v="Semester Exchange Program"/>
    <x v="2"/>
    <s v="25–35 Age"/>
    <n v="139686"/>
    <n v="5412"/>
    <n v="1042"/>
    <n v="509"/>
    <n v="290"/>
    <n v="75836.12"/>
    <n v="1654751.42"/>
    <s v="East India"/>
    <n v="1"/>
    <s v="OK"/>
    <n v="3.8744040204458567"/>
    <n v="19.253510716925351"/>
    <n v="48.848368522072938"/>
    <n v="56.97445972495089"/>
    <n v="2082.0096017570518"/>
    <n v="21.820096017570521"/>
  </r>
  <r>
    <d v="2024-10-11T00:00:00"/>
    <s v="AD005"/>
    <s v="Semester Exchange Program"/>
    <x v="2"/>
    <s v="25–35 Age"/>
    <n v="120409"/>
    <n v="4489"/>
    <n v="780"/>
    <n v="484"/>
    <n v="246"/>
    <n v="110563.17"/>
    <n v="1888857.04"/>
    <s v="East India"/>
    <n v="1"/>
    <s v="OK"/>
    <n v="3.7281266350521971"/>
    <n v="17.375807529516596"/>
    <n v="62.051282051282051"/>
    <n v="50.826446280991732"/>
    <n v="1608.3962408096656"/>
    <n v="17.083962408096657"/>
  </r>
  <r>
    <d v="2024-10-12T00:00:00"/>
    <s v="AD005"/>
    <s v="Semester Exchange Program"/>
    <x v="2"/>
    <s v="17–21 Age"/>
    <n v="216016"/>
    <n v="10639"/>
    <n v="1987"/>
    <n v="1050"/>
    <n v="475"/>
    <n v="139364"/>
    <n v="1826451.72"/>
    <s v="South India"/>
    <n v="1"/>
    <s v="OK"/>
    <n v="4.9250981408784531"/>
    <n v="18.676567346555128"/>
    <n v="52.843482637141413"/>
    <n v="45.238095238095241"/>
    <n v="1210.562067678884"/>
    <n v="13.10562067678884"/>
  </r>
  <r>
    <d v="2024-10-13T00:00:00"/>
    <s v="AD005"/>
    <s v="Semester Exchange Program"/>
    <x v="2"/>
    <s v="17–21 Age"/>
    <n v="58912"/>
    <n v="4326"/>
    <n v="782"/>
    <n v="498"/>
    <n v="295"/>
    <n v="48216.62"/>
    <n v="1214180.74"/>
    <s v="South India"/>
    <n v="1"/>
    <s v="OK"/>
    <n v="7.343155893536121"/>
    <n v="18.076745261211279"/>
    <n v="63.682864450127873"/>
    <n v="59.23694779116466"/>
    <n v="2418.1788769100772"/>
    <n v="25.181788769100777"/>
  </r>
  <r>
    <d v="2024-10-14T00:00:00"/>
    <s v="AD005"/>
    <s v="Semester Exchange Program"/>
    <x v="2"/>
    <s v="22–27 Age"/>
    <n v="202717"/>
    <n v="6817"/>
    <n v="1069"/>
    <n v="693"/>
    <n v="358"/>
    <n v="116988.99"/>
    <n v="1522257.6"/>
    <s v="West India"/>
    <n v="1"/>
    <s v="OK"/>
    <n v="3.3628161427014018"/>
    <n v="15.681384773360715"/>
    <n v="64.826941066417206"/>
    <n v="51.659451659451662"/>
    <n v="1201.1973177988802"/>
    <n v="13.0119731779888"/>
  </r>
  <r>
    <d v="2024-10-15T00:00:00"/>
    <s v="AD005"/>
    <s v="Semester Exchange Program"/>
    <x v="2"/>
    <s v="22–27 Age"/>
    <n v="251656"/>
    <n v="18834"/>
    <n v="3343"/>
    <n v="1918"/>
    <n v="1080"/>
    <n v="241798.27"/>
    <n v="7037867.2699999996"/>
    <s v="South India"/>
    <n v="1"/>
    <s v="OK"/>
    <n v="7.4840258130145916"/>
    <n v="17.749814165870234"/>
    <n v="57.373616512114864"/>
    <n v="56.308654848800835"/>
    <n v="2810.635907361951"/>
    <n v="29.106359073619508"/>
  </r>
  <r>
    <d v="2024-10-16T00:00:00"/>
    <s v="AD005"/>
    <s v="Semester Exchange Program"/>
    <x v="2"/>
    <s v="17–21 Age"/>
    <n v="199622"/>
    <n v="6041"/>
    <n v="993"/>
    <n v="525"/>
    <n v="228"/>
    <n v="176721.83"/>
    <n v="988512.45"/>
    <s v="South India"/>
    <n v="1"/>
    <s v="OK"/>
    <n v="3.0262195549588724"/>
    <n v="16.437675881476576"/>
    <n v="52.870090634441091"/>
    <n v="43.428571428571431"/>
    <n v="459.36069131923318"/>
    <n v="5.5936069131923318"/>
  </r>
  <r>
    <d v="2024-10-17T00:00:00"/>
    <s v="AD005"/>
    <s v="Semester Exchange Program"/>
    <x v="2"/>
    <s v="25–35 Age"/>
    <n v="69381"/>
    <n v="3391"/>
    <n v="607"/>
    <n v="363"/>
    <n v="166"/>
    <n v="49757.02"/>
    <n v="578094.77"/>
    <s v="Pan India"/>
    <n v="1"/>
    <s v="OK"/>
    <n v="4.8875052247733528"/>
    <n v="17.900324388086112"/>
    <n v="59.802306425041188"/>
    <n v="45.730027548209371"/>
    <n v="1061.8355962636026"/>
    <n v="11.618355962636027"/>
  </r>
  <r>
    <d v="2024-10-18T00:00:00"/>
    <s v="AD005"/>
    <s v="Semester Exchange Program"/>
    <x v="2"/>
    <s v="17–21 Age"/>
    <n v="287101"/>
    <n v="12759"/>
    <n v="2552"/>
    <n v="1493"/>
    <n v="878"/>
    <n v="208157.08"/>
    <n v="4202662.82"/>
    <s v="North India"/>
    <n v="1"/>
    <s v="OK"/>
    <n v="4.4440806545431748"/>
    <n v="20.001567520965594"/>
    <n v="58.503134796238243"/>
    <n v="58.807769591426663"/>
    <n v="1918.9862482698163"/>
    <n v="20.189862482698164"/>
  </r>
  <r>
    <d v="2024-10-19T00:00:00"/>
    <s v="AD005"/>
    <s v="Semester Exchange Program"/>
    <x v="2"/>
    <s v="17–21 Age"/>
    <n v="184878"/>
    <n v="12850"/>
    <n v="2357"/>
    <n v="1514"/>
    <n v="788"/>
    <n v="119293.73"/>
    <n v="4620820.8099999996"/>
    <s v="East India"/>
    <n v="1"/>
    <s v="OK"/>
    <n v="6.9505295383982952"/>
    <n v="18.342412451361866"/>
    <n v="64.234196011879504"/>
    <n v="52.047556142668427"/>
    <n v="3773.4817077142275"/>
    <n v="38.734817077142274"/>
  </r>
  <r>
    <d v="2024-10-20T00:00:00"/>
    <s v="AD005"/>
    <s v="Semester Exchange Program"/>
    <x v="2"/>
    <s v="22–27 Age"/>
    <n v="92994"/>
    <n v="4254"/>
    <n v="1025"/>
    <n v="663"/>
    <n v="325"/>
    <n v="63509.98"/>
    <n v="1979290.65"/>
    <s v="West India"/>
    <n v="1"/>
    <s v="OK"/>
    <n v="4.5744886766888184"/>
    <n v="24.094969440526562"/>
    <n v="64.682926829268297"/>
    <n v="49.019607843137251"/>
    <n v="3016.5033432540836"/>
    <n v="31.165033432540834"/>
  </r>
  <r>
    <d v="2024-10-21T00:00:00"/>
    <s v="AD005"/>
    <s v="Semester Exchange Program"/>
    <x v="2"/>
    <s v="25–35 Age"/>
    <n v="122794"/>
    <n v="7849"/>
    <n v="1907"/>
    <n v="1022"/>
    <n v="609"/>
    <n v="115044.95"/>
    <n v="2146534.46"/>
    <s v="East India"/>
    <n v="1"/>
    <s v="OK"/>
    <n v="6.3920061240777235"/>
    <n v="24.296088673716397"/>
    <n v="53.592029365495542"/>
    <n v="59.589041095890416"/>
    <n v="1765.8224111532056"/>
    <n v="18.658224111532057"/>
  </r>
  <r>
    <d v="2024-10-22T00:00:00"/>
    <s v="AD005"/>
    <s v="Semester Exchange Program"/>
    <x v="2"/>
    <s v="17–21 Age"/>
    <n v="91570"/>
    <n v="6739"/>
    <n v="1285"/>
    <n v="721"/>
    <n v="353"/>
    <n v="79415.47"/>
    <n v="2003387.48"/>
    <s v="West India"/>
    <n v="1"/>
    <s v="OK"/>
    <n v="7.3593971824833462"/>
    <n v="19.068110995696692"/>
    <n v="56.108949416342412"/>
    <n v="48.95977808599168"/>
    <n v="2422.6665283225043"/>
    <n v="25.226665283225042"/>
  </r>
  <r>
    <d v="2024-10-23T00:00:00"/>
    <s v="AD005"/>
    <s v="Semester Exchange Program"/>
    <x v="2"/>
    <s v="25–35 Age"/>
    <n v="136044"/>
    <n v="5700"/>
    <n v="1277"/>
    <n v="576"/>
    <n v="315"/>
    <n v="81289.850000000006"/>
    <n v="1260959.52"/>
    <s v="West India"/>
    <n v="1"/>
    <s v="OK"/>
    <n v="4.1898209402840259"/>
    <n v="22.403508771929825"/>
    <n v="45.105716523101016"/>
    <n v="54.6875"/>
    <n v="1451.1893797319096"/>
    <n v="15.511893797319098"/>
  </r>
  <r>
    <d v="2024-10-24T00:00:00"/>
    <s v="AD005"/>
    <s v="Semester Exchange Program"/>
    <x v="2"/>
    <s v="22–27 Age"/>
    <n v="167984"/>
    <n v="5400"/>
    <n v="1206"/>
    <n v="563"/>
    <n v="278"/>
    <n v="99048.93"/>
    <n v="1366324.42"/>
    <s v="East India"/>
    <n v="1"/>
    <s v="OK"/>
    <n v="3.2145918658919901"/>
    <n v="22.333333333333332"/>
    <n v="46.683250414593694"/>
    <n v="49.378330373001781"/>
    <n v="1279.4438970718818"/>
    <n v="13.794438970718815"/>
  </r>
  <r>
    <d v="2024-10-25T00:00:00"/>
    <s v="AD005"/>
    <s v="Semester Exchange Program"/>
    <x v="2"/>
    <s v="22–27 Age"/>
    <n v="95036"/>
    <n v="5272"/>
    <n v="948"/>
    <n v="435"/>
    <n v="238"/>
    <n v="52509.599999999999"/>
    <n v="1552232.36"/>
    <s v="North India"/>
    <n v="1"/>
    <s v="OK"/>
    <n v="5.5473715223704705"/>
    <n v="17.981790591805765"/>
    <n v="45.88607594936709"/>
    <n v="54.712643678160923"/>
    <n v="2856.0925240337006"/>
    <n v="29.560925240337006"/>
  </r>
  <r>
    <d v="2024-10-26T00:00:00"/>
    <s v="AD005"/>
    <s v="Semester Exchange Program"/>
    <x v="2"/>
    <s v="25–35 Age"/>
    <n v="59294"/>
    <n v="3218"/>
    <n v="771"/>
    <n v="376"/>
    <n v="216"/>
    <n v="51407.62"/>
    <n v="827192.52"/>
    <s v="West India"/>
    <n v="1"/>
    <s v="OK"/>
    <n v="5.42719330792323"/>
    <n v="23.958980733374766"/>
    <n v="48.767833981841761"/>
    <n v="57.446808510638306"/>
    <n v="1509.0854235228162"/>
    <n v="16.090854235228161"/>
  </r>
  <r>
    <d v="2024-10-27T00:00:00"/>
    <s v="AD005"/>
    <s v="Semester Exchange Program"/>
    <x v="2"/>
    <s v="22–27 Age"/>
    <n v="130677"/>
    <n v="9462"/>
    <n v="1831"/>
    <n v="969"/>
    <n v="562"/>
    <n v="89431.65"/>
    <n v="2487761.4"/>
    <s v="North India"/>
    <n v="1"/>
    <s v="OK"/>
    <n v="7.240753919970615"/>
    <n v="19.351088564785456"/>
    <n v="52.921900600764602"/>
    <n v="57.997936016511865"/>
    <n v="2681.746059700341"/>
    <n v="27.817460597003411"/>
  </r>
  <r>
    <d v="2024-10-28T00:00:00"/>
    <s v="AD005"/>
    <s v="Semester Exchange Program"/>
    <x v="2"/>
    <s v="22–27 Age"/>
    <n v="97058"/>
    <n v="3274"/>
    <n v="651"/>
    <n v="375"/>
    <n v="190"/>
    <n v="45063.28"/>
    <n v="895881.61"/>
    <s v="Pan India"/>
    <n v="1"/>
    <s v="OK"/>
    <n v="3.3732407426487256"/>
    <n v="19.883934025656689"/>
    <n v="57.603686635944698"/>
    <n v="50.666666666666671"/>
    <n v="1888.0523787882287"/>
    <n v="19.880523787882286"/>
  </r>
  <r>
    <d v="2024-10-29T00:00:00"/>
    <s v="AD005"/>
    <s v="Semester Exchange Program"/>
    <x v="2"/>
    <s v="17–21 Age"/>
    <n v="179478"/>
    <n v="6773"/>
    <n v="1044"/>
    <n v="667"/>
    <n v="270"/>
    <n v="91661.15"/>
    <n v="2080724.29"/>
    <s v="North India"/>
    <n v="1"/>
    <s v="OK"/>
    <n v="3.7737215703317393"/>
    <n v="15.414144396869926"/>
    <n v="63.888888888888886"/>
    <n v="40.479760119940025"/>
    <n v="2170.0176574262928"/>
    <n v="22.700176574262926"/>
  </r>
  <r>
    <d v="2024-10-30T00:00:00"/>
    <s v="AD005"/>
    <s v="Semester Exchange Program"/>
    <x v="2"/>
    <s v="25–35 Age"/>
    <n v="281673"/>
    <n v="15379"/>
    <n v="3271"/>
    <n v="1753"/>
    <n v="1035"/>
    <n v="204309.98"/>
    <n v="3459761.8"/>
    <s v="South India"/>
    <n v="1"/>
    <s v="OK"/>
    <n v="5.4598772335296601"/>
    <n v="21.269263281097601"/>
    <n v="53.592173647202692"/>
    <n v="59.041642897889332"/>
    <n v="1593.3885461689144"/>
    <n v="16.933885461689144"/>
  </r>
  <r>
    <d v="2024-10-31T00:00:00"/>
    <s v="AD005"/>
    <s v="Semester Exchange Program"/>
    <x v="2"/>
    <s v="25–35 Age"/>
    <n v="116450"/>
    <n v="6235"/>
    <n v="1558"/>
    <n v="824"/>
    <n v="360"/>
    <n v="65629.02"/>
    <n v="1949668.5"/>
    <s v="South India"/>
    <n v="1"/>
    <s v="OK"/>
    <n v="5.3542292829540576"/>
    <n v="24.987971130713714"/>
    <n v="52.888318356867778"/>
    <n v="43.689320388349515"/>
    <n v="2870.7414494380687"/>
    <n v="29.707414494380686"/>
  </r>
  <r>
    <d v="2024-11-01T00:00:00"/>
    <s v="AD005"/>
    <s v="Semester Exchange Program"/>
    <x v="2"/>
    <s v="17–21 Age"/>
    <n v="225961"/>
    <n v="14171"/>
    <n v="3221"/>
    <n v="1819"/>
    <n v="993"/>
    <n v="168277.96"/>
    <n v="3222207.73"/>
    <s v="North India"/>
    <n v="1"/>
    <s v="OK"/>
    <n v="6.2714362212948256"/>
    <n v="22.729518029779129"/>
    <n v="56.47314498602919"/>
    <n v="54.590434304562955"/>
    <n v="1814.8126884827939"/>
    <n v="19.148126884827938"/>
  </r>
  <r>
    <d v="2024-11-02T00:00:00"/>
    <s v="AD005"/>
    <s v="Semester Exchange Program"/>
    <x v="2"/>
    <s v="25–35 Age"/>
    <n v="106756"/>
    <n v="7681"/>
    <n v="1748"/>
    <n v="926"/>
    <n v="405"/>
    <n v="72448.350000000006"/>
    <n v="1950812.15"/>
    <s v="Pan India"/>
    <n v="1"/>
    <s v="OK"/>
    <n v="7.1949117613998279"/>
    <n v="22.757453456581175"/>
    <n v="52.974828375286044"/>
    <n v="43.736501079913609"/>
    <n v="2592.6936914367266"/>
    <n v="26.926936914367268"/>
  </r>
  <r>
    <d v="2024-11-03T00:00:00"/>
    <s v="AD005"/>
    <s v="Semester Exchange Program"/>
    <x v="2"/>
    <s v="17–21 Age"/>
    <n v="232832"/>
    <n v="9147"/>
    <n v="1633"/>
    <n v="749"/>
    <n v="397"/>
    <n v="193724.4"/>
    <n v="3007990.84"/>
    <s v="South India"/>
    <n v="1"/>
    <s v="OK"/>
    <n v="3.9285836998350741"/>
    <n v="17.852847928282497"/>
    <n v="45.866503368034294"/>
    <n v="53.004005340453944"/>
    <n v="1452.7165602267964"/>
    <n v="15.527165602267964"/>
  </r>
  <r>
    <d v="2024-11-04T00:00:00"/>
    <s v="AD005"/>
    <s v="Semester Exchange Program"/>
    <x v="2"/>
    <s v="22–27 Age"/>
    <n v="283483"/>
    <n v="9399"/>
    <n v="2257"/>
    <n v="1289"/>
    <n v="646"/>
    <n v="152209.39000000001"/>
    <n v="2606457.79"/>
    <s v="Pan India"/>
    <n v="1"/>
    <s v="OK"/>
    <n v="3.3155427309574117"/>
    <n v="24.013192892860943"/>
    <n v="57.111209570225959"/>
    <n v="50.116369278510476"/>
    <n v="1612.4158962860306"/>
    <n v="17.124158962860307"/>
  </r>
  <r>
    <d v="2024-11-05T00:00:00"/>
    <s v="AD005"/>
    <s v="Semester Exchange Program"/>
    <x v="2"/>
    <s v="25–35 Age"/>
    <n v="239123"/>
    <n v="8684"/>
    <n v="1946"/>
    <n v="1221"/>
    <n v="722"/>
    <n v="204001.7"/>
    <n v="2714132.08"/>
    <s v="North India"/>
    <n v="1"/>
    <s v="OK"/>
    <n v="3.6316038189550981"/>
    <n v="22.40902809765085"/>
    <n v="62.744090441932165"/>
    <n v="59.13185913185913"/>
    <n v="1230.4458149123266"/>
    <n v="13.304458149123267"/>
  </r>
  <r>
    <d v="2024-11-06T00:00:00"/>
    <s v="AD005"/>
    <s v="Semester Exchange Program"/>
    <x v="2"/>
    <s v="25–35 Age"/>
    <n v="276380"/>
    <n v="16064"/>
    <n v="2534"/>
    <n v="1232"/>
    <n v="551"/>
    <n v="170390.62"/>
    <n v="3092023.95"/>
    <s v="East India"/>
    <n v="1"/>
    <s v="OK"/>
    <n v="5.8122874303495182"/>
    <n v="15.774402390438247"/>
    <n v="48.618784530386741"/>
    <n v="44.72402597402597"/>
    <n v="1714.6679377068995"/>
    <n v="18.146679377068999"/>
  </r>
  <r>
    <d v="2024-11-07T00:00:00"/>
    <s v="AD005"/>
    <s v="Semester Exchange Program"/>
    <x v="2"/>
    <s v="17–21 Age"/>
    <n v="270180"/>
    <n v="14454"/>
    <n v="3258"/>
    <n v="1917"/>
    <n v="990"/>
    <n v="268873.26"/>
    <n v="6443869.4199999999"/>
    <s v="West India"/>
    <n v="1"/>
    <s v="OK"/>
    <n v="5.3497668221185872"/>
    <n v="22.540473225404732"/>
    <n v="58.839779005524861"/>
    <n v="51.643192488262912"/>
    <n v="2296.6196638520319"/>
    <n v="23.966196638520319"/>
  </r>
  <r>
    <d v="2024-11-08T00:00:00"/>
    <s v="AD005"/>
    <s v="Semester Exchange Program"/>
    <x v="2"/>
    <s v="17–21 Age"/>
    <n v="286662"/>
    <n v="11043"/>
    <n v="1712"/>
    <n v="779"/>
    <n v="318"/>
    <n v="131184.54999999999"/>
    <n v="1392508.14"/>
    <s v="East India"/>
    <n v="1"/>
    <s v="OK"/>
    <n v="3.852272013730456"/>
    <n v="15.50303359594313"/>
    <n v="45.502336448598129"/>
    <n v="40.821566110397946"/>
    <n v="961.48791149567535"/>
    <n v="10.614879114956754"/>
  </r>
  <r>
    <d v="2024-11-09T00:00:00"/>
    <s v="AD005"/>
    <s v="Semester Exchange Program"/>
    <x v="2"/>
    <s v="22–27 Age"/>
    <n v="181568"/>
    <n v="10036"/>
    <n v="2164"/>
    <n v="1043"/>
    <n v="557"/>
    <n v="105288.6"/>
    <n v="2943846.76"/>
    <s v="Pan India"/>
    <n v="1"/>
    <s v="OK"/>
    <n v="5.5274057102573142"/>
    <n v="21.562375448385811"/>
    <n v="48.197781885397411"/>
    <n v="53.403643336529235"/>
    <n v="2695.9786339641701"/>
    <n v="27.959786339641706"/>
  </r>
  <r>
    <d v="2024-11-10T00:00:00"/>
    <s v="AD005"/>
    <s v="Semester Exchange Program"/>
    <x v="2"/>
    <s v="17–21 Age"/>
    <n v="55161"/>
    <n v="1674"/>
    <n v="327"/>
    <n v="182"/>
    <n v="93"/>
    <n v="27683.46"/>
    <n v="419254.85"/>
    <s v="North India"/>
    <n v="1"/>
    <s v="OK"/>
    <n v="3.0347528144884972"/>
    <n v="19.534050179211469"/>
    <n v="55.657492354740057"/>
    <n v="51.098901098901095"/>
    <n v="1414.4597171018361"/>
    <n v="15.144597171018363"/>
  </r>
  <r>
    <d v="2024-11-11T00:00:00"/>
    <s v="AD005"/>
    <s v="Semester Exchange Program"/>
    <x v="2"/>
    <s v="25–35 Age"/>
    <n v="146332"/>
    <n v="7956"/>
    <n v="1417"/>
    <n v="687"/>
    <n v="389"/>
    <n v="145598.6"/>
    <n v="1883807.49"/>
    <s v="East India"/>
    <n v="1"/>
    <s v="OK"/>
    <n v="5.4369515895361236"/>
    <n v="17.81045751633987"/>
    <n v="48.482709950599862"/>
    <n v="56.622998544395919"/>
    <n v="1193.8362662827801"/>
    <n v="12.938362662827801"/>
  </r>
  <r>
    <d v="2024-11-12T00:00:00"/>
    <s v="AD005"/>
    <s v="Semester Exchange Program"/>
    <x v="2"/>
    <s v="17–21 Age"/>
    <n v="283452"/>
    <n v="10161"/>
    <n v="2461"/>
    <n v="1357"/>
    <n v="599"/>
    <n v="241562.23999999999"/>
    <n v="2333253.91"/>
    <s v="East India"/>
    <n v="1"/>
    <s v="OK"/>
    <n v="3.5847339232039288"/>
    <n v="24.220057080995964"/>
    <n v="55.140186915887845"/>
    <n v="44.141488577745022"/>
    <n v="865.90175269114923"/>
    <n v="9.6590175269114926"/>
  </r>
  <r>
    <d v="2024-11-13T00:00:00"/>
    <s v="AD005"/>
    <s v="Semester Exchange Program"/>
    <x v="2"/>
    <s v="17–21 Age"/>
    <n v="266279"/>
    <n v="21175"/>
    <n v="3231"/>
    <n v="1568"/>
    <n v="646"/>
    <n v="219965.47"/>
    <n v="2905813.4"/>
    <s v="East India"/>
    <n v="1"/>
    <s v="OK"/>
    <n v="7.9521854896555872"/>
    <n v="15.258559622195985"/>
    <n v="48.529866914268027"/>
    <n v="41.198979591836739"/>
    <n v="1221.0316146438802"/>
    <n v="13.210316146438801"/>
  </r>
  <r>
    <d v="2024-11-14T00:00:00"/>
    <s v="AD005"/>
    <s v="Semester Exchange Program"/>
    <x v="2"/>
    <s v="25–35 Age"/>
    <n v="126096"/>
    <n v="4710"/>
    <n v="786"/>
    <n v="422"/>
    <n v="172"/>
    <n v="75860.320000000007"/>
    <n v="757098.6"/>
    <s v="Pan India"/>
    <n v="1"/>
    <s v="OK"/>
    <n v="3.735249333840883"/>
    <n v="16.687898089171973"/>
    <n v="53.689567430025441"/>
    <n v="40.758293838862556"/>
    <n v="898.01661791039112"/>
    <n v="9.9801661791039091"/>
  </r>
  <r>
    <d v="2024-11-15T00:00:00"/>
    <s v="AD005"/>
    <s v="Semester Exchange Program"/>
    <x v="2"/>
    <s v="22–27 Age"/>
    <n v="72191"/>
    <n v="4406"/>
    <n v="911"/>
    <n v="578"/>
    <n v="345"/>
    <n v="56628.01"/>
    <n v="1560935.41"/>
    <s v="West India"/>
    <n v="1"/>
    <s v="OK"/>
    <n v="6.1032538682107189"/>
    <n v="20.676350431230141"/>
    <n v="63.446761800219541"/>
    <n v="59.688581314878896"/>
    <n v="2656.4723005452597"/>
    <n v="27.564723005452599"/>
  </r>
  <r>
    <d v="2024-11-16T00:00:00"/>
    <s v="AD005"/>
    <s v="Semester Exchange Program"/>
    <x v="2"/>
    <s v="25–35 Age"/>
    <n v="102772"/>
    <n v="7546"/>
    <n v="1445"/>
    <n v="670"/>
    <n v="401"/>
    <n v="91991.98"/>
    <n v="2282140.1"/>
    <s v="Pan India"/>
    <n v="1"/>
    <s v="OK"/>
    <n v="7.3424668197563534"/>
    <n v="19.149218128809967"/>
    <n v="46.366782006920417"/>
    <n v="59.850746268656721"/>
    <n v="2380.8033265508584"/>
    <n v="24.808033265508584"/>
  </r>
  <r>
    <d v="2024-11-17T00:00:00"/>
    <s v="AD005"/>
    <s v="Semester Exchange Program"/>
    <x v="2"/>
    <s v="22–27 Age"/>
    <n v="110873"/>
    <n v="5990"/>
    <n v="1401"/>
    <n v="803"/>
    <n v="465"/>
    <n v="86112.93"/>
    <n v="2382488.17"/>
    <s v="Pan India"/>
    <n v="1"/>
    <s v="OK"/>
    <n v="5.4025777240626658"/>
    <n v="23.388981636060098"/>
    <n v="57.316202712348321"/>
    <n v="57.907845579078455"/>
    <n v="2666.7020155974251"/>
    <n v="27.667020155974257"/>
  </r>
  <r>
    <d v="2024-11-18T00:00:00"/>
    <s v="AD005"/>
    <s v="Semester Exchange Program"/>
    <x v="2"/>
    <s v="17–21 Age"/>
    <n v="204362"/>
    <n v="14066"/>
    <n v="3141"/>
    <n v="1562"/>
    <n v="659"/>
    <n v="184747.29"/>
    <n v="3568654"/>
    <s v="South India"/>
    <n v="1"/>
    <s v="OK"/>
    <n v="6.8828842935575105"/>
    <n v="22.330442201052183"/>
    <n v="49.729385546004458"/>
    <n v="42.189500640204862"/>
    <n v="1831.6407834723855"/>
    <n v="19.316407834723854"/>
  </r>
  <r>
    <d v="2024-11-19T00:00:00"/>
    <s v="AD005"/>
    <s v="Semester Exchange Program"/>
    <x v="2"/>
    <s v="17–21 Age"/>
    <n v="180572"/>
    <n v="12720"/>
    <n v="2814"/>
    <n v="1384"/>
    <n v="578"/>
    <n v="137201.60999999999"/>
    <n v="3495163.5"/>
    <s v="West India"/>
    <n v="1"/>
    <s v="OK"/>
    <n v="7.0442815054382741"/>
    <n v="22.122641509433961"/>
    <n v="49.182658137882015"/>
    <n v="41.763005780346823"/>
    <n v="2447.465368664406"/>
    <n v="25.474653686644057"/>
  </r>
  <r>
    <d v="2024-11-20T00:00:00"/>
    <s v="AD005"/>
    <s v="Semester Exchange Program"/>
    <x v="2"/>
    <s v="25–35 Age"/>
    <n v="193929"/>
    <n v="13873"/>
    <n v="3062"/>
    <n v="1471"/>
    <n v="874"/>
    <n v="161155.16"/>
    <n v="6776185.6900000004"/>
    <s v="West India"/>
    <n v="1"/>
    <s v="OK"/>
    <n v="7.1536490158769448"/>
    <n v="22.071649967562891"/>
    <n v="48.040496407576747"/>
    <n v="59.415363698164512"/>
    <n v="4104.7587492699586"/>
    <n v="42.047587492699584"/>
  </r>
  <r>
    <d v="2024-11-21T00:00:00"/>
    <s v="AD005"/>
    <s v="Semester Exchange Program"/>
    <x v="2"/>
    <s v="25–35 Age"/>
    <n v="82283"/>
    <n v="2921"/>
    <n v="481"/>
    <n v="235"/>
    <n v="130"/>
    <n v="76726.47"/>
    <n v="415137.55"/>
    <s v="North India"/>
    <n v="1"/>
    <s v="OK"/>
    <n v="3.5499434877192129"/>
    <n v="16.466963368709344"/>
    <n v="48.856548856548862"/>
    <n v="55.319148936170215"/>
    <n v="441.06170921195769"/>
    <n v="5.4106170921195771"/>
  </r>
  <r>
    <d v="2024-11-22T00:00:00"/>
    <s v="AD005"/>
    <s v="Semester Exchange Program"/>
    <x v="2"/>
    <s v="25–35 Age"/>
    <n v="192091"/>
    <n v="11604"/>
    <n v="2347"/>
    <n v="1104"/>
    <n v="643"/>
    <n v="125058.01"/>
    <n v="4406790.3499999996"/>
    <s v="West India"/>
    <n v="1"/>
    <s v="OK"/>
    <n v="6.0408868713266113"/>
    <n v="20.225784212340571"/>
    <n v="47.038772901576479"/>
    <n v="58.242753623188406"/>
    <n v="3423.7969563085167"/>
    <n v="35.237969563085159"/>
  </r>
  <r>
    <d v="2024-11-23T00:00:00"/>
    <s v="AD005"/>
    <s v="Semester Exchange Program"/>
    <x v="2"/>
    <s v="25–35 Age"/>
    <n v="65161"/>
    <n v="2390"/>
    <n v="561"/>
    <n v="334"/>
    <n v="173"/>
    <n v="46009.7"/>
    <n v="825433.67"/>
    <s v="South India"/>
    <n v="1"/>
    <s v="OK"/>
    <n v="3.6678381240312454"/>
    <n v="23.472803347280337"/>
    <n v="59.536541889483061"/>
    <n v="51.796407185628745"/>
    <n v="1694.0427127323155"/>
    <n v="17.940427127323154"/>
  </r>
  <r>
    <d v="2024-11-24T00:00:00"/>
    <s v="AD005"/>
    <s v="Semester Exchange Program"/>
    <x v="2"/>
    <s v="22–27 Age"/>
    <n v="273486"/>
    <n v="9563"/>
    <n v="1760"/>
    <n v="876"/>
    <n v="515"/>
    <n v="230126.27"/>
    <n v="3733798.06"/>
    <s v="Pan India"/>
    <n v="1"/>
    <s v="OK"/>
    <n v="3.4967054986361275"/>
    <n v="18.40426644358465"/>
    <n v="49.772727272727273"/>
    <n v="58.789954337899545"/>
    <n v="1522.4997085295827"/>
    <n v="16.224997085295826"/>
  </r>
  <r>
    <d v="2024-11-25T00:00:00"/>
    <s v="AD005"/>
    <s v="Semester Exchange Program"/>
    <x v="2"/>
    <s v="22–27 Age"/>
    <n v="69058"/>
    <n v="3605"/>
    <n v="672"/>
    <n v="383"/>
    <n v="211"/>
    <n v="46789.73"/>
    <n v="1676078.02"/>
    <s v="South India"/>
    <n v="1"/>
    <s v="OK"/>
    <n v="5.2202496452257527"/>
    <n v="18.640776699029125"/>
    <n v="56.994047619047613"/>
    <n v="55.091383812010442"/>
    <n v="3482.1493733774482"/>
    <n v="35.821493733774481"/>
  </r>
  <r>
    <d v="2024-11-26T00:00:00"/>
    <s v="AD005"/>
    <s v="Semester Exchange Program"/>
    <x v="2"/>
    <s v="22–27 Age"/>
    <n v="91853"/>
    <n v="6881"/>
    <n v="1240"/>
    <n v="672"/>
    <n v="277"/>
    <n v="44008.160000000003"/>
    <n v="1877093.83"/>
    <s v="North India"/>
    <n v="1"/>
    <s v="OK"/>
    <n v="7.4913176488519699"/>
    <n v="18.0206365353873"/>
    <n v="54.193548387096783"/>
    <n v="41.220238095238095"/>
    <n v="4165.3313158287001"/>
    <n v="42.653313158287006"/>
  </r>
  <r>
    <d v="2024-11-27T00:00:00"/>
    <s v="AD005"/>
    <s v="Semester Exchange Program"/>
    <x v="2"/>
    <s v="17–21 Age"/>
    <n v="90600"/>
    <n v="5028"/>
    <n v="1186"/>
    <n v="602"/>
    <n v="308"/>
    <n v="73545.38"/>
    <n v="1650695.41"/>
    <s v="East India"/>
    <n v="1"/>
    <s v="OK"/>
    <n v="5.5496688741721849"/>
    <n v="23.587907716785999"/>
    <n v="50.75885328836425"/>
    <n v="51.162790697674424"/>
    <n v="2144.4583330727232"/>
    <n v="22.44458333072723"/>
  </r>
  <r>
    <d v="2024-11-28T00:00:00"/>
    <s v="AD005"/>
    <s v="Semester Exchange Program"/>
    <x v="2"/>
    <s v="22–27 Age"/>
    <n v="175761"/>
    <n v="5318"/>
    <n v="1233"/>
    <n v="657"/>
    <n v="374"/>
    <n v="116485.8"/>
    <n v="2032416.22"/>
    <s v="South India"/>
    <n v="1"/>
    <s v="OK"/>
    <n v="3.0256996717132925"/>
    <n v="23.185408048138399"/>
    <n v="53.284671532846716"/>
    <n v="56.925418569254184"/>
    <n v="1644.775946939455"/>
    <n v="17.447759469394551"/>
  </r>
  <r>
    <d v="2024-11-29T00:00:00"/>
    <s v="AD005"/>
    <s v="Semester Exchange Program"/>
    <x v="2"/>
    <s v="22–27 Age"/>
    <n v="255808"/>
    <n v="20215"/>
    <n v="4403"/>
    <n v="2084"/>
    <n v="1238"/>
    <n v="219725.73"/>
    <n v="5687975.9299999997"/>
    <s v="West India"/>
    <n v="1"/>
    <s v="OK"/>
    <n v="7.9024111833875406"/>
    <n v="21.780855800148405"/>
    <n v="47.3313649784238"/>
    <n v="59.404990403071011"/>
    <n v="2488.6708534316845"/>
    <n v="25.886708534316849"/>
  </r>
  <r>
    <d v="2024-11-30T00:00:00"/>
    <s v="AD005"/>
    <s v="Semester Exchange Program"/>
    <x v="2"/>
    <s v="22–27 Age"/>
    <n v="80454"/>
    <n v="5850"/>
    <n v="1090"/>
    <n v="544"/>
    <n v="298"/>
    <n v="70151.88"/>
    <n v="1542618.67"/>
    <s v="Pan India"/>
    <n v="1"/>
    <s v="OK"/>
    <n v="7.2712357371914376"/>
    <n v="18.632478632478634"/>
    <n v="49.908256880733944"/>
    <n v="54.779411764705884"/>
    <n v="2098.9698209085768"/>
    <n v="21.98969820908577"/>
  </r>
  <r>
    <d v="2024-12-01T00:00:00"/>
    <s v="AD005"/>
    <s v="Semester Exchange Program"/>
    <x v="2"/>
    <s v="17–21 Age"/>
    <n v="197437"/>
    <n v="15661"/>
    <n v="3170"/>
    <n v="2036"/>
    <n v="967"/>
    <n v="126999.65"/>
    <n v="3380862.13"/>
    <s v="East India"/>
    <n v="1"/>
    <s v="OK"/>
    <n v="7.9321505087698867"/>
    <n v="20.241363897579976"/>
    <n v="64.227129337539438"/>
    <n v="47.495088408644399"/>
    <n v="2562.1035018600446"/>
    <n v="26.621035018600445"/>
  </r>
  <r>
    <d v="2024-12-02T00:00:00"/>
    <s v="AD005"/>
    <s v="Semester Exchange Program"/>
    <x v="2"/>
    <s v="25–35 Age"/>
    <n v="89542"/>
    <n v="6519"/>
    <n v="1086"/>
    <n v="697"/>
    <n v="285"/>
    <n v="60866.25"/>
    <n v="1813988.18"/>
    <s v="East India"/>
    <n v="1"/>
    <s v="OK"/>
    <n v="7.2803823903866345"/>
    <n v="16.65899677864703"/>
    <n v="64.180478821362797"/>
    <n v="40.889526542324248"/>
    <n v="2880.2857577064465"/>
    <n v="29.802857577064465"/>
  </r>
  <r>
    <d v="2024-12-03T00:00:00"/>
    <s v="AD005"/>
    <s v="Semester Exchange Program"/>
    <x v="2"/>
    <s v="17–21 Age"/>
    <n v="264827"/>
    <n v="17541"/>
    <n v="3210"/>
    <n v="1832"/>
    <n v="918"/>
    <n v="239779.4"/>
    <n v="4492737.47"/>
    <s v="North India"/>
    <n v="1"/>
    <s v="OK"/>
    <n v="6.6235693490467362"/>
    <n v="18.299982897212246"/>
    <n v="57.071651090342677"/>
    <n v="50.109170305676855"/>
    <n v="1773.696184909963"/>
    <n v="18.736961849099629"/>
  </r>
  <r>
    <d v="2024-12-04T00:00:00"/>
    <s v="AD005"/>
    <s v="Semester Exchange Program"/>
    <x v="2"/>
    <s v="25–35 Age"/>
    <n v="246484"/>
    <n v="15426"/>
    <n v="3748"/>
    <n v="2056"/>
    <n v="1100"/>
    <n v="197907.72"/>
    <n v="3733897.51"/>
    <s v="North India"/>
    <n v="1"/>
    <s v="OK"/>
    <n v="6.2584183963259283"/>
    <n v="24.296642032931416"/>
    <n v="54.85592315901814"/>
    <n v="53.501945525291831"/>
    <n v="1786.6861333150621"/>
    <n v="18.86686133315062"/>
  </r>
  <r>
    <d v="2024-12-05T00:00:00"/>
    <s v="AD005"/>
    <s v="Semester Exchange Program"/>
    <x v="2"/>
    <s v="22–27 Age"/>
    <n v="166847"/>
    <n v="6747"/>
    <n v="1403"/>
    <n v="818"/>
    <n v="471"/>
    <n v="125046.51"/>
    <n v="1803264.94"/>
    <s v="Pan India"/>
    <n v="1"/>
    <s v="OK"/>
    <n v="4.0438245818024896"/>
    <n v="20.794427152808655"/>
    <n v="58.303635067712044"/>
    <n v="57.579462102689483"/>
    <n v="1342.0753845909014"/>
    <n v="14.420753845909015"/>
  </r>
  <r>
    <d v="2024-12-06T00:00:00"/>
    <s v="AD005"/>
    <s v="Semester Exchange Program"/>
    <x v="2"/>
    <s v="17–21 Age"/>
    <n v="159764"/>
    <n v="8942"/>
    <n v="1411"/>
    <n v="644"/>
    <n v="294"/>
    <n v="90588.72"/>
    <n v="1354157.21"/>
    <s v="Pan India"/>
    <n v="1"/>
    <s v="OK"/>
    <n v="5.5970055832352719"/>
    <n v="15.779467680608365"/>
    <n v="45.641389085754788"/>
    <n v="45.652173913043477"/>
    <n v="1394.8408698124888"/>
    <n v="14.948408698124886"/>
  </r>
  <r>
    <d v="2024-12-07T00:00:00"/>
    <s v="AD005"/>
    <s v="Semester Exchange Program"/>
    <x v="2"/>
    <s v="22–27 Age"/>
    <n v="102163"/>
    <n v="5048"/>
    <n v="1064"/>
    <n v="661"/>
    <n v="327"/>
    <n v="60848.34"/>
    <n v="2575367.84"/>
    <s v="West India"/>
    <n v="1"/>
    <s v="OK"/>
    <n v="4.9411234987226296"/>
    <n v="21.077654516640255"/>
    <n v="62.124060150375939"/>
    <n v="49.470499243570352"/>
    <n v="4132.4373023158887"/>
    <n v="42.324373023158891"/>
  </r>
  <r>
    <d v="2024-12-08T00:00:00"/>
    <s v="AD005"/>
    <s v="Semester Exchange Program"/>
    <x v="2"/>
    <s v="25–35 Age"/>
    <n v="126853"/>
    <n v="7221"/>
    <n v="1286"/>
    <n v="797"/>
    <n v="398"/>
    <n v="50966.79"/>
    <n v="2508469.86"/>
    <s v="West India"/>
    <n v="1"/>
    <s v="OK"/>
    <n v="5.6924156306906424"/>
    <n v="17.809167705303974"/>
    <n v="61.975116640746499"/>
    <n v="49.937264742785445"/>
    <n v="4821.773295905039"/>
    <n v="49.217732959050387"/>
  </r>
  <r>
    <d v="2024-12-09T00:00:00"/>
    <s v="AD005"/>
    <s v="Semester Exchange Program"/>
    <x v="2"/>
    <s v="25–35 Age"/>
    <n v="220003"/>
    <n v="12964"/>
    <n v="2716"/>
    <n v="1272"/>
    <n v="714"/>
    <n v="149924.94"/>
    <n v="5270433.16"/>
    <s v="East India"/>
    <n v="1"/>
    <s v="OK"/>
    <n v="5.8926469184511117"/>
    <n v="20.950323974082075"/>
    <n v="46.833578792341676"/>
    <n v="56.132075471698116"/>
    <n v="3415.3812034208586"/>
    <n v="35.153812034208585"/>
  </r>
  <r>
    <d v="2024-12-10T00:00:00"/>
    <s v="AD005"/>
    <s v="Semester Exchange Program"/>
    <x v="2"/>
    <s v="22–27 Age"/>
    <n v="201824"/>
    <n v="7307"/>
    <n v="1450"/>
    <n v="689"/>
    <n v="362"/>
    <n v="150905.54999999999"/>
    <n v="1905071.16"/>
    <s v="Pan India"/>
    <n v="1"/>
    <s v="OK"/>
    <n v="3.6204812113524656"/>
    <n v="19.843985219652389"/>
    <n v="47.517241379310342"/>
    <n v="52.539912917271401"/>
    <n v="1162.4261731924373"/>
    <n v="12.624261731924372"/>
  </r>
  <r>
    <d v="2024-12-11T00:00:00"/>
    <s v="AD005"/>
    <s v="Semester Exchange Program"/>
    <x v="2"/>
    <s v="17–21 Age"/>
    <n v="250260"/>
    <n v="19853"/>
    <n v="3492"/>
    <n v="1798"/>
    <n v="784"/>
    <n v="135506.91"/>
    <n v="2906425.19"/>
    <s v="West India"/>
    <n v="1"/>
    <s v="OK"/>
    <n v="7.9329497322784297"/>
    <n v="17.589281216944542"/>
    <n v="51.489117983963339"/>
    <n v="43.604004449388214"/>
    <n v="2044.8538602201168"/>
    <n v="21.448538602201172"/>
  </r>
  <r>
    <d v="2024-12-12T00:00:00"/>
    <s v="AD005"/>
    <s v="Semester Exchange Program"/>
    <x v="2"/>
    <s v="25–35 Age"/>
    <n v="135664"/>
    <n v="4928"/>
    <n v="1186"/>
    <n v="699"/>
    <n v="396"/>
    <n v="57125.919999999998"/>
    <n v="2556577.29"/>
    <s v="West India"/>
    <n v="1"/>
    <s v="OK"/>
    <n v="3.6325038329991748"/>
    <n v="24.066558441558442"/>
    <n v="58.937605396290053"/>
    <n v="56.652360515021464"/>
    <n v="4375.3367473119033"/>
    <n v="44.753367473119035"/>
  </r>
  <r>
    <d v="2024-12-13T00:00:00"/>
    <s v="AD005"/>
    <s v="Semester Exchange Program"/>
    <x v="2"/>
    <s v="25–35 Age"/>
    <n v="160397"/>
    <n v="9855"/>
    <n v="1850"/>
    <n v="945"/>
    <n v="509"/>
    <n v="66687.61"/>
    <n v="2358767.81"/>
    <s v="Pan India"/>
    <n v="1"/>
    <s v="OK"/>
    <n v="6.1441298777408555"/>
    <n v="18.772196854388636"/>
    <n v="51.081081081081081"/>
    <n v="53.862433862433868"/>
    <n v="3437.0405537100523"/>
    <n v="35.370405537100524"/>
  </r>
  <r>
    <d v="2024-12-14T00:00:00"/>
    <s v="AD005"/>
    <s v="Semester Exchange Program"/>
    <x v="2"/>
    <s v="22–27 Age"/>
    <n v="79723"/>
    <n v="3466"/>
    <n v="546"/>
    <n v="277"/>
    <n v="162"/>
    <n v="45007.68"/>
    <n v="714695.19"/>
    <s v="Pan India"/>
    <n v="1"/>
    <s v="OK"/>
    <n v="4.3475534036601733"/>
    <n v="15.753029428736296"/>
    <n v="50.73260073260073"/>
    <n v="58.483754512635379"/>
    <n v="1487.9405248170976"/>
    <n v="15.879405248170977"/>
  </r>
  <r>
    <d v="2024-12-15T00:00:00"/>
    <s v="AD005"/>
    <s v="Semester Exchange Program"/>
    <x v="2"/>
    <s v="25–35 Age"/>
    <n v="152326"/>
    <n v="8620"/>
    <n v="2136"/>
    <n v="1366"/>
    <n v="558"/>
    <n v="144403.81"/>
    <n v="4066244.11"/>
    <s v="North India"/>
    <n v="1"/>
    <s v="OK"/>
    <n v="5.6589157464910782"/>
    <n v="24.779582366589327"/>
    <n v="63.951310861423217"/>
    <n v="40.849194729136165"/>
    <n v="2715.8842277083963"/>
    <n v="28.158842277083963"/>
  </r>
  <r>
    <d v="2024-12-16T00:00:00"/>
    <s v="AD005"/>
    <s v="Semester Exchange Program"/>
    <x v="2"/>
    <s v="25–35 Age"/>
    <n v="215008"/>
    <n v="12718"/>
    <n v="3010"/>
    <n v="1775"/>
    <n v="928"/>
    <n v="185494.55"/>
    <n v="5966828.5599999996"/>
    <s v="North India"/>
    <n v="1"/>
    <s v="OK"/>
    <n v="5.915128739395743"/>
    <n v="23.66724327724485"/>
    <n v="58.970099667774093"/>
    <n v="52.281690140845072"/>
    <n v="3116.7136770325596"/>
    <n v="32.167136770325598"/>
  </r>
  <r>
    <d v="2024-12-17T00:00:00"/>
    <s v="AD005"/>
    <s v="Semester Exchange Program"/>
    <x v="2"/>
    <s v="25–35 Age"/>
    <n v="226154"/>
    <n v="6787"/>
    <n v="1355"/>
    <n v="775"/>
    <n v="413"/>
    <n v="127284.48"/>
    <n v="3048285.96"/>
    <s v="East India"/>
    <n v="1"/>
    <s v="OK"/>
    <n v="3.0010523802364757"/>
    <n v="19.964638279062914"/>
    <n v="57.195571955719558"/>
    <n v="53.290322580645167"/>
    <n v="2294.8606774368718"/>
    <n v="23.94860677436872"/>
  </r>
  <r>
    <d v="2024-12-18T00:00:00"/>
    <s v="AD005"/>
    <s v="Semester Exchange Program"/>
    <x v="2"/>
    <s v="17–21 Age"/>
    <n v="65380"/>
    <n v="3622"/>
    <n v="886"/>
    <n v="466"/>
    <n v="197"/>
    <n v="38280.769999999997"/>
    <n v="618935.67000000004"/>
    <s v="East India"/>
    <n v="1"/>
    <s v="OK"/>
    <n v="5.5399204649739984"/>
    <n v="24.461623412479295"/>
    <n v="52.595936794582386"/>
    <n v="42.274678111587981"/>
    <n v="1516.831819213668"/>
    <n v="16.168318192136681"/>
  </r>
  <r>
    <d v="2024-12-19T00:00:00"/>
    <s v="AD005"/>
    <s v="Semester Exchange Program"/>
    <x v="2"/>
    <s v="22–27 Age"/>
    <n v="64816"/>
    <n v="4503"/>
    <n v="783"/>
    <n v="385"/>
    <n v="198"/>
    <n v="36917.17"/>
    <n v="1292747.3500000001"/>
    <s v="South India"/>
    <n v="1"/>
    <s v="OK"/>
    <n v="6.947358676869908"/>
    <n v="17.388407728181214"/>
    <n v="49.169859514687104"/>
    <n v="51.428571428571423"/>
    <n v="3401.7509467816744"/>
    <n v="35.017509467816744"/>
  </r>
  <r>
    <d v="2024-12-20T00:00:00"/>
    <s v="AD005"/>
    <s v="Semester Exchange Program"/>
    <x v="2"/>
    <s v="25–35 Age"/>
    <n v="129732"/>
    <n v="6744"/>
    <n v="1532"/>
    <n v="866"/>
    <n v="459"/>
    <n v="59861.08"/>
    <n v="3616448.38"/>
    <s v="North India"/>
    <n v="1"/>
    <s v="OK"/>
    <n v="5.198409027842013"/>
    <n v="22.716488730723604"/>
    <n v="56.527415143603136"/>
    <n v="53.002309468822176"/>
    <n v="5941.4018256937561"/>
    <n v="60.41401825693756"/>
  </r>
  <r>
    <d v="2024-12-21T00:00:00"/>
    <s v="AD005"/>
    <s v="Semester Exchange Program"/>
    <x v="2"/>
    <s v="25–35 Age"/>
    <n v="191010"/>
    <n v="6685"/>
    <n v="1113"/>
    <n v="682"/>
    <n v="386"/>
    <n v="84242.54"/>
    <n v="2143080.9500000002"/>
    <s v="East India"/>
    <n v="1"/>
    <s v="OK"/>
    <n v="3.4998167635202346"/>
    <n v="16.649214659685864"/>
    <n v="61.275831087151843"/>
    <n v="56.598240469208214"/>
    <n v="2443.9415169580598"/>
    <n v="25.439415169580599"/>
  </r>
  <r>
    <d v="2024-12-22T00:00:00"/>
    <s v="AD005"/>
    <s v="Semester Exchange Program"/>
    <x v="2"/>
    <s v="22–27 Age"/>
    <n v="68302"/>
    <n v="2222"/>
    <n v="383"/>
    <n v="243"/>
    <n v="139"/>
    <n v="55070.2"/>
    <n v="866752.39"/>
    <s v="West India"/>
    <n v="1"/>
    <s v="OK"/>
    <n v="3.2531990278469154"/>
    <n v="17.236723672367237"/>
    <n v="63.446475195822451"/>
    <n v="57.201646090534972"/>
    <n v="1473.9045618138307"/>
    <n v="15.739045618138304"/>
  </r>
  <r>
    <d v="2024-12-23T00:00:00"/>
    <s v="AD005"/>
    <s v="Semester Exchange Program"/>
    <x v="2"/>
    <s v="22–27 Age"/>
    <n v="148429"/>
    <n v="6118"/>
    <n v="1413"/>
    <n v="782"/>
    <n v="344"/>
    <n v="93856.35"/>
    <n v="1316377.6200000001"/>
    <s v="North India"/>
    <n v="1"/>
    <s v="OK"/>
    <n v="4.1218360293473655"/>
    <n v="23.095782935599871"/>
    <n v="55.34324133050248"/>
    <n v="43.989769820971873"/>
    <n v="1302.545080860272"/>
    <n v="14.025450808602722"/>
  </r>
  <r>
    <d v="2024-12-24T00:00:00"/>
    <s v="AD005"/>
    <s v="Semester Exchange Program"/>
    <x v="2"/>
    <s v="22–27 Age"/>
    <n v="130005"/>
    <n v="7572"/>
    <n v="1183"/>
    <n v="758"/>
    <n v="342"/>
    <n v="52249.34"/>
    <n v="2407660.84"/>
    <s v="South India"/>
    <n v="1"/>
    <s v="OK"/>
    <n v="5.8243913695627096"/>
    <n v="15.623349181193872"/>
    <n v="64.074387151310233"/>
    <n v="45.118733509234829"/>
    <n v="4508.0215367313731"/>
    <n v="46.080215367313734"/>
  </r>
  <r>
    <d v="2024-12-25T00:00:00"/>
    <s v="AD005"/>
    <s v="Semester Exchange Program"/>
    <x v="2"/>
    <s v="25–35 Age"/>
    <n v="188671"/>
    <n v="14836"/>
    <n v="3690"/>
    <n v="2154"/>
    <n v="921"/>
    <n v="187239.3"/>
    <n v="5745146.2000000002"/>
    <s v="West India"/>
    <n v="1"/>
    <s v="OK"/>
    <n v="7.8634236316127009"/>
    <n v="24.871933135616072"/>
    <n v="58.373983739837399"/>
    <n v="42.757660167130915"/>
    <n v="2968.3441991077734"/>
    <n v="30.683441991077732"/>
  </r>
  <r>
    <d v="2024-12-26T00:00:00"/>
    <s v="AD005"/>
    <s v="Semester Exchange Program"/>
    <x v="2"/>
    <s v="22–27 Age"/>
    <n v="210372"/>
    <n v="8399"/>
    <n v="1694"/>
    <n v="973"/>
    <n v="468"/>
    <n v="119550.69"/>
    <n v="3244204.25"/>
    <s v="South India"/>
    <n v="1"/>
    <s v="OK"/>
    <n v="3.9924514669252567"/>
    <n v="20.169067746160259"/>
    <n v="57.438016528925615"/>
    <n v="48.098663926002054"/>
    <n v="2613.6641787680187"/>
    <n v="27.136641787680187"/>
  </r>
  <r>
    <d v="2024-12-27T00:00:00"/>
    <s v="AD005"/>
    <s v="Semester Exchange Program"/>
    <x v="2"/>
    <s v="17–21 Age"/>
    <n v="242821"/>
    <n v="11287"/>
    <n v="2295"/>
    <n v="1202"/>
    <n v="698"/>
    <n v="99352.03"/>
    <n v="4449421.0999999996"/>
    <s v="Pan India"/>
    <n v="1"/>
    <s v="OK"/>
    <n v="4.648280008730711"/>
    <n v="20.333126605829715"/>
    <n v="52.37472766884531"/>
    <n v="58.069883527454245"/>
    <n v="4378.4400479788883"/>
    <n v="44.784400479788886"/>
  </r>
  <r>
    <d v="2024-12-28T00:00:00"/>
    <s v="AD005"/>
    <s v="Semester Exchange Program"/>
    <x v="2"/>
    <s v="22–27 Age"/>
    <n v="203553"/>
    <n v="16070"/>
    <n v="3160"/>
    <n v="1749"/>
    <n v="804"/>
    <n v="85165.18"/>
    <n v="4136749.5"/>
    <s v="West India"/>
    <n v="1"/>
    <s v="OK"/>
    <n v="7.8947497703300851"/>
    <n v="19.663970130678283"/>
    <n v="55.348101265822777"/>
    <n v="45.969125214408237"/>
    <n v="4757.3249067283132"/>
    <n v="48.573249067283136"/>
  </r>
  <r>
    <d v="2024-12-29T00:00:00"/>
    <s v="AD005"/>
    <s v="Semester Exchange Program"/>
    <x v="2"/>
    <s v="17–21 Age"/>
    <n v="76603"/>
    <n v="5356"/>
    <n v="1267"/>
    <n v="651"/>
    <n v="332"/>
    <n v="45529.69"/>
    <n v="1938587.1"/>
    <s v="West India"/>
    <n v="1"/>
    <s v="OK"/>
    <n v="6.9918932678876802"/>
    <n v="23.655713218820015"/>
    <n v="51.381215469613259"/>
    <n v="50.998463901689703"/>
    <n v="4157.8526232003778"/>
    <n v="42.578526232003775"/>
  </r>
  <r>
    <d v="2024-12-30T00:00:00"/>
    <s v="AD005"/>
    <s v="Semester Exchange Program"/>
    <x v="2"/>
    <s v="22–27 Age"/>
    <n v="170097"/>
    <n v="6950"/>
    <n v="1199"/>
    <n v="740"/>
    <n v="397"/>
    <n v="123129.23"/>
    <n v="2422516.6800000002"/>
    <s v="South India"/>
    <n v="1"/>
    <s v="OK"/>
    <n v="4.0859039254072682"/>
    <n v="17.25179856115108"/>
    <n v="61.71809841534612"/>
    <n v="53.648648648648646"/>
    <n v="1867.4586448725461"/>
    <n v="19.67458644872546"/>
  </r>
  <r>
    <d v="2024-12-31T00:00:00"/>
    <s v="AD005"/>
    <s v="Semester Exchange Program"/>
    <x v="2"/>
    <s v="22–27 Age"/>
    <n v="131701"/>
    <n v="9179"/>
    <n v="1437"/>
    <n v="927"/>
    <n v="505"/>
    <n v="59393.39"/>
    <n v="3247013.45"/>
    <s v="Pan India"/>
    <n v="1"/>
    <s v="OK"/>
    <n v="6.9695750222093986"/>
    <n v="15.655300141627629"/>
    <n v="64.509394572025045"/>
    <n v="54.476806903991374"/>
    <n v="5366.9609698991753"/>
    <n v="54.669609698991763"/>
  </r>
  <r>
    <d v="2025-01-01T00:00:00"/>
    <s v="AD003"/>
    <s v="Placements"/>
    <x v="3"/>
    <s v="22–27 Age"/>
    <n v="279530"/>
    <n v="19894"/>
    <n v="3599"/>
    <n v="2203"/>
    <n v="1218"/>
    <n v="273389.71999999997"/>
    <n v="8583247.3000000007"/>
    <s v="South India"/>
    <n v="1"/>
    <s v="OK"/>
    <n v="7.1169463027224271"/>
    <n v="18.090881672866193"/>
    <n v="61.211447624340096"/>
    <n v="55.288243304584661"/>
    <n v="3039.5647575922026"/>
    <n v="31.395647575922027"/>
  </r>
  <r>
    <d v="2025-01-02T00:00:00"/>
    <s v="AD003"/>
    <s v="Placements"/>
    <x v="3"/>
    <s v="17–21 Age"/>
    <n v="107357"/>
    <n v="3850"/>
    <n v="660"/>
    <n v="404"/>
    <n v="170"/>
    <n v="64297.75"/>
    <n v="639111.06000000006"/>
    <s v="West India"/>
    <n v="1"/>
    <s v="OK"/>
    <n v="3.5861657833210687"/>
    <n v="17.142857142857142"/>
    <n v="61.212121212121204"/>
    <n v="42.079207920792079"/>
    <n v="893.98666360798006"/>
    <n v="9.9398666360798007"/>
  </r>
  <r>
    <d v="2025-01-03T00:00:00"/>
    <s v="AD003"/>
    <s v="Placements"/>
    <x v="3"/>
    <s v="25–35 Age"/>
    <n v="234568"/>
    <n v="11507"/>
    <n v="2233"/>
    <n v="1415"/>
    <n v="677"/>
    <n v="228209.58"/>
    <n v="3116134.9"/>
    <s v="West India"/>
    <n v="1"/>
    <s v="OK"/>
    <n v="4.9056137239521158"/>
    <n v="19.405579212653169"/>
    <n v="63.367666815942684"/>
    <n v="47.844522968197879"/>
    <n v="1265.4706783124529"/>
    <n v="13.65470678312453"/>
  </r>
  <r>
    <d v="2025-01-04T00:00:00"/>
    <s v="AD003"/>
    <s v="Placements"/>
    <x v="3"/>
    <s v="25–35 Age"/>
    <n v="118873"/>
    <n v="6602"/>
    <n v="1257"/>
    <n v="706"/>
    <n v="337"/>
    <n v="88250.44"/>
    <n v="1510928.16"/>
    <s v="West India"/>
    <n v="1"/>
    <s v="OK"/>
    <n v="5.5538263524938385"/>
    <n v="19.039684943956377"/>
    <n v="56.16547334924423"/>
    <n v="47.733711048158639"/>
    <n v="1612.0913618107738"/>
    <n v="17.120913618107739"/>
  </r>
  <r>
    <d v="2025-01-05T00:00:00"/>
    <s v="AD003"/>
    <s v="Placements"/>
    <x v="3"/>
    <s v="22–27 Age"/>
    <n v="65935"/>
    <n v="3337"/>
    <n v="635"/>
    <n v="299"/>
    <n v="144"/>
    <n v="33688.76"/>
    <n v="618176.80000000005"/>
    <s v="Pan India"/>
    <n v="1"/>
    <s v="OK"/>
    <n v="5.0610449685296128"/>
    <n v="19.029068025172311"/>
    <n v="47.086614173228348"/>
    <n v="48.16053511705686"/>
    <n v="1734.9645401018026"/>
    <n v="18.349645401018027"/>
  </r>
  <r>
    <d v="2025-01-06T00:00:00"/>
    <s v="AD003"/>
    <s v="Placements"/>
    <x v="3"/>
    <s v="25–35 Age"/>
    <n v="98052"/>
    <n v="5653"/>
    <n v="1278"/>
    <n v="620"/>
    <n v="365"/>
    <n v="66527.789999999994"/>
    <n v="2071736.22"/>
    <s v="East India"/>
    <n v="1"/>
    <s v="OK"/>
    <n v="5.765308203810223"/>
    <n v="22.607465062798514"/>
    <n v="48.513302034428797"/>
    <n v="58.870967741935488"/>
    <n v="3014.091449603241"/>
    <n v="31.140914496032412"/>
  </r>
  <r>
    <d v="2025-01-07T00:00:00"/>
    <s v="AD003"/>
    <s v="Placements"/>
    <x v="3"/>
    <s v="22–27 Age"/>
    <n v="131378"/>
    <n v="7546"/>
    <n v="1518"/>
    <n v="715"/>
    <n v="293"/>
    <n v="83251.47"/>
    <n v="1142012.75"/>
    <s v="Pan India"/>
    <n v="1"/>
    <s v="OK"/>
    <n v="5.7437318272465712"/>
    <n v="20.11661807580175"/>
    <n v="47.10144927536232"/>
    <n v="40.97902097902098"/>
    <n v="1271.76286496803"/>
    <n v="13.7176286496803"/>
  </r>
  <r>
    <d v="2025-01-08T00:00:00"/>
    <s v="AD003"/>
    <s v="Placements"/>
    <x v="3"/>
    <s v="22–27 Age"/>
    <n v="262420"/>
    <n v="14446"/>
    <n v="3479"/>
    <n v="2040"/>
    <n v="966"/>
    <n v="119191.61"/>
    <n v="6335108.8300000001"/>
    <s v="West India"/>
    <n v="1"/>
    <s v="OK"/>
    <n v="5.5049157838579372"/>
    <n v="24.082791084037105"/>
    <n v="58.637539522851391"/>
    <n v="47.352941176470587"/>
    <n v="5215.0627212771096"/>
    <n v="53.150627212771099"/>
  </r>
  <r>
    <d v="2025-01-09T00:00:00"/>
    <s v="AD003"/>
    <s v="Placements"/>
    <x v="3"/>
    <s v="25–35 Age"/>
    <n v="153266"/>
    <n v="6717"/>
    <n v="1640"/>
    <n v="966"/>
    <n v="430"/>
    <n v="153149.87"/>
    <n v="2013145.18"/>
    <s v="Pan India"/>
    <n v="1"/>
    <s v="OK"/>
    <n v="4.3825766967233433"/>
    <n v="24.415661753759117"/>
    <n v="58.90243902439024"/>
    <n v="44.513457556935819"/>
    <n v="1214.4935611110868"/>
    <n v="13.144935611110869"/>
  </r>
  <r>
    <d v="2025-01-10T00:00:00"/>
    <s v="AD003"/>
    <s v="Placements"/>
    <x v="3"/>
    <s v="22–27 Age"/>
    <n v="70209"/>
    <n v="2239"/>
    <n v="511"/>
    <n v="331"/>
    <n v="185"/>
    <n v="54632.02"/>
    <n v="1173022.8899999999"/>
    <s v="South India"/>
    <n v="1"/>
    <s v="OK"/>
    <n v="3.1890498369154954"/>
    <n v="22.822688700312639"/>
    <n v="64.774951076320946"/>
    <n v="55.891238670694868"/>
    <n v="2047.1343911500985"/>
    <n v="21.471343911500984"/>
  </r>
  <r>
    <d v="2025-01-11T00:00:00"/>
    <s v="AD003"/>
    <s v="Placements"/>
    <x v="3"/>
    <s v="22–27 Age"/>
    <n v="125823"/>
    <n v="6100"/>
    <n v="1244"/>
    <n v="598"/>
    <n v="263"/>
    <n v="78509.289999999994"/>
    <n v="1955712.94"/>
    <s v="South India"/>
    <n v="1"/>
    <s v="OK"/>
    <n v="4.8480802397018037"/>
    <n v="20.393442622950818"/>
    <n v="48.070739549839232"/>
    <n v="43.979933110367888"/>
    <n v="2391.0592619039098"/>
    <n v="24.910592619039097"/>
  </r>
  <r>
    <d v="2025-01-12T00:00:00"/>
    <s v="AD003"/>
    <s v="Placements"/>
    <x v="3"/>
    <s v="25–35 Age"/>
    <n v="203716"/>
    <n v="6420"/>
    <n v="1047"/>
    <n v="499"/>
    <n v="199"/>
    <n v="165278.22"/>
    <n v="840797.82"/>
    <s v="West India"/>
    <n v="1"/>
    <s v="OK"/>
    <n v="3.151446130888099"/>
    <n v="16.308411214953271"/>
    <n v="47.659980897803244"/>
    <n v="39.879759519038075"/>
    <n v="408.7166476018437"/>
    <n v="5.087166476018437"/>
  </r>
  <r>
    <d v="2025-01-13T00:00:00"/>
    <s v="AD003"/>
    <s v="Placements"/>
    <x v="3"/>
    <s v="22–27 Age"/>
    <n v="146482"/>
    <n v="4711"/>
    <n v="931"/>
    <n v="572"/>
    <n v="338"/>
    <n v="141930.1"/>
    <n v="2174371.9300000002"/>
    <s v="North India"/>
    <n v="1"/>
    <s v="OK"/>
    <n v="3.2160948102838574"/>
    <n v="19.762258543833582"/>
    <n v="61.43931256713212"/>
    <n v="59.090909090909093"/>
    <n v="1432.0019713929603"/>
    <n v="15.320019713929604"/>
  </r>
  <r>
    <d v="2025-01-14T00:00:00"/>
    <s v="AD003"/>
    <s v="Placements"/>
    <x v="3"/>
    <s v="22–27 Age"/>
    <n v="266480"/>
    <n v="8507"/>
    <n v="1449"/>
    <n v="740"/>
    <n v="346"/>
    <n v="179057.44"/>
    <n v="2625757.6800000002"/>
    <s v="Pan India"/>
    <n v="1"/>
    <s v="OK"/>
    <n v="3.1923596517562292"/>
    <n v="17.033031621017987"/>
    <n v="51.069703243616281"/>
    <n v="46.756756756756758"/>
    <n v="1366.4331624533447"/>
    <n v="14.664331624533446"/>
  </r>
  <r>
    <d v="2025-01-15T00:00:00"/>
    <s v="AD003"/>
    <s v="Placements"/>
    <x v="3"/>
    <s v="22–27 Age"/>
    <n v="119877"/>
    <n v="5157"/>
    <n v="853"/>
    <n v="489"/>
    <n v="196"/>
    <n v="55662.12"/>
    <n v="601879.73"/>
    <s v="East India"/>
    <n v="1"/>
    <s v="OK"/>
    <n v="4.3019094571936236"/>
    <n v="16.540624394027535"/>
    <n v="57.327080890973036"/>
    <n v="40.081799591002046"/>
    <n v="981.3093895812807"/>
    <n v="10.813093895812807"/>
  </r>
  <r>
    <d v="2025-01-16T00:00:00"/>
    <s v="AD003"/>
    <s v="Placements"/>
    <x v="3"/>
    <s v="25–35 Age"/>
    <n v="258617"/>
    <n v="11130"/>
    <n v="2706"/>
    <n v="1265"/>
    <n v="634"/>
    <n v="220388.72"/>
    <n v="3969227.91"/>
    <s v="East India"/>
    <n v="1"/>
    <s v="OK"/>
    <n v="4.3036613989026247"/>
    <n v="24.31266846361186"/>
    <n v="46.747967479674799"/>
    <n v="50.118577075098813"/>
    <n v="1701.0122795758332"/>
    <n v="18.010122795758331"/>
  </r>
  <r>
    <d v="2025-01-17T00:00:00"/>
    <s v="AD003"/>
    <s v="Placements"/>
    <x v="3"/>
    <s v="25–35 Age"/>
    <n v="286009"/>
    <n v="20719"/>
    <n v="3174"/>
    <n v="1988"/>
    <n v="1183"/>
    <n v="159981.23000000001"/>
    <n v="5016566.76"/>
    <s v="North India"/>
    <n v="1"/>
    <s v="OK"/>
    <n v="7.2441776307738568"/>
    <n v="15.31927216564506"/>
    <n v="62.633900441083803"/>
    <n v="59.507042253521128"/>
    <n v="3035.7220843970254"/>
    <n v="31.357220843970254"/>
  </r>
  <r>
    <d v="2025-01-18T00:00:00"/>
    <s v="AD003"/>
    <s v="Placements"/>
    <x v="3"/>
    <s v="22–27 Age"/>
    <n v="143217"/>
    <n v="6695"/>
    <n v="1166"/>
    <n v="607"/>
    <n v="327"/>
    <n v="67853.55"/>
    <n v="1547240.6"/>
    <s v="South India"/>
    <n v="1"/>
    <s v="OK"/>
    <n v="4.6747243693136991"/>
    <n v="17.415982076176249"/>
    <n v="52.058319039451121"/>
    <n v="53.871499176276771"/>
    <n v="2180.2647761244621"/>
    <n v="22.802647761244621"/>
  </r>
  <r>
    <d v="2025-01-19T00:00:00"/>
    <s v="AD003"/>
    <s v="Placements"/>
    <x v="3"/>
    <s v="22–27 Age"/>
    <n v="72167"/>
    <n v="3593"/>
    <n v="602"/>
    <n v="351"/>
    <n v="197"/>
    <n v="70366.31"/>
    <n v="1134508.6499999999"/>
    <s v="East India"/>
    <n v="1"/>
    <s v="OK"/>
    <n v="4.9787298903931161"/>
    <n v="16.754801001948234"/>
    <n v="58.305647840531563"/>
    <n v="56.125356125356127"/>
    <n v="1512.2895317375601"/>
    <n v="16.122895317375601"/>
  </r>
  <r>
    <d v="2025-01-20T00:00:00"/>
    <s v="AD003"/>
    <s v="Placements"/>
    <x v="3"/>
    <s v="22–27 Age"/>
    <n v="239490"/>
    <n v="16490"/>
    <n v="2821"/>
    <n v="1500"/>
    <n v="857"/>
    <n v="231252.5"/>
    <n v="2591070.7400000002"/>
    <s v="Pan India"/>
    <n v="1"/>
    <s v="OK"/>
    <n v="6.8854649463443147"/>
    <n v="17.107337780473014"/>
    <n v="53.172633817795109"/>
    <n v="57.133333333333333"/>
    <n v="1020.4509097198951"/>
    <n v="11.204509097198951"/>
  </r>
  <r>
    <d v="2025-01-21T00:00:00"/>
    <s v="AD003"/>
    <s v="Placements"/>
    <x v="3"/>
    <s v="22–27 Age"/>
    <n v="114858"/>
    <n v="8995"/>
    <n v="2140"/>
    <n v="1042"/>
    <n v="585"/>
    <n v="109054.25"/>
    <n v="3742051.97"/>
    <s v="Pan India"/>
    <n v="1"/>
    <s v="OK"/>
    <n v="7.8314092183391661"/>
    <n v="23.790994997220675"/>
    <n v="48.691588785046733"/>
    <n v="56.142034548944345"/>
    <n v="3331.3673882494263"/>
    <n v="34.313673882494264"/>
  </r>
  <r>
    <d v="2025-01-22T00:00:00"/>
    <s v="AD003"/>
    <s v="Placements"/>
    <x v="3"/>
    <s v="25–35 Age"/>
    <n v="287469"/>
    <n v="15650"/>
    <n v="3709"/>
    <n v="1899"/>
    <n v="784"/>
    <n v="253282.64"/>
    <n v="2874025.11"/>
    <s v="West India"/>
    <n v="1"/>
    <s v="OK"/>
    <n v="5.4440652731251022"/>
    <n v="23.699680511182109"/>
    <n v="51.199784308438936"/>
    <n v="41.28488678251712"/>
    <n v="1034.7106576273839"/>
    <n v="11.347106576273841"/>
  </r>
  <r>
    <d v="2025-01-23T00:00:00"/>
    <s v="AD003"/>
    <s v="Placements"/>
    <x v="3"/>
    <s v="22–27 Age"/>
    <n v="160382"/>
    <n v="12822"/>
    <n v="2675"/>
    <n v="1467"/>
    <n v="670"/>
    <n v="98850.69"/>
    <n v="3011981.4"/>
    <s v="Pan India"/>
    <n v="1"/>
    <s v="OK"/>
    <n v="7.9946627427017996"/>
    <n v="20.862579940726874"/>
    <n v="54.841121495327108"/>
    <n v="45.671438309475121"/>
    <n v="2947.0008858815249"/>
    <n v="30.470008858815248"/>
  </r>
  <r>
    <d v="2025-01-24T00:00:00"/>
    <s v="AD003"/>
    <s v="Placements"/>
    <x v="3"/>
    <s v="22–27 Age"/>
    <n v="87341"/>
    <n v="6016"/>
    <n v="1290"/>
    <n v="669"/>
    <n v="315"/>
    <n v="35138.720000000001"/>
    <n v="2092169.31"/>
    <s v="East India"/>
    <n v="1"/>
    <s v="OK"/>
    <n v="6.8879449513973974"/>
    <n v="21.44281914893617"/>
    <n v="51.860465116279073"/>
    <n v="47.085201793721978"/>
    <n v="5854.028234380763"/>
    <n v="59.540282343807625"/>
  </r>
  <r>
    <d v="2025-01-25T00:00:00"/>
    <s v="AD003"/>
    <s v="Placements"/>
    <x v="3"/>
    <s v="22–27 Age"/>
    <n v="184938"/>
    <n v="6118"/>
    <n v="1450"/>
    <n v="865"/>
    <n v="478"/>
    <n v="132226.89000000001"/>
    <n v="1439934.34"/>
    <s v="North India"/>
    <n v="1"/>
    <s v="OK"/>
    <n v="3.3081356995317348"/>
    <n v="23.700555737169012"/>
    <n v="59.655172413793103"/>
    <n v="55.260115606936409"/>
    <n v="988.98752742350666"/>
    <n v="10.889875274235067"/>
  </r>
  <r>
    <d v="2025-01-26T00:00:00"/>
    <s v="AD003"/>
    <s v="Placements"/>
    <x v="3"/>
    <s v="22–27 Age"/>
    <n v="63670"/>
    <n v="3261"/>
    <n v="779"/>
    <n v="463"/>
    <n v="260"/>
    <n v="57921.04"/>
    <n v="1810450.96"/>
    <s v="North India"/>
    <n v="1"/>
    <s v="OK"/>
    <n v="5.1217213758441966"/>
    <n v="23.888377798221406"/>
    <n v="59.435173299101407"/>
    <n v="56.155507559395247"/>
    <n v="3025.7224663093066"/>
    <n v="31.257224663093066"/>
  </r>
  <r>
    <d v="2025-01-27T00:00:00"/>
    <s v="AD003"/>
    <s v="Placements"/>
    <x v="3"/>
    <s v="17–21 Age"/>
    <n v="182711"/>
    <n v="13431"/>
    <n v="2341"/>
    <n v="1427"/>
    <n v="816"/>
    <n v="123017.03"/>
    <n v="5356819.38"/>
    <s v="North India"/>
    <n v="1"/>
    <s v="OK"/>
    <n v="7.3509531445835234"/>
    <n v="17.42982652073561"/>
    <n v="60.956856044425457"/>
    <n v="57.182901191310442"/>
    <n v="4254.534798962387"/>
    <n v="43.545347989623878"/>
  </r>
  <r>
    <d v="2025-01-28T00:00:00"/>
    <s v="AD003"/>
    <s v="Placements"/>
    <x v="3"/>
    <s v="17–21 Age"/>
    <n v="228212"/>
    <n v="18002"/>
    <n v="4371"/>
    <n v="2526"/>
    <n v="1404"/>
    <n v="140065.29999999999"/>
    <n v="6510695.7000000002"/>
    <s v="South India"/>
    <n v="1"/>
    <s v="OK"/>
    <n v="7.888279319229488"/>
    <n v="24.280635484946117"/>
    <n v="57.789979409746053"/>
    <n v="55.581947743467929"/>
    <n v="4548.3288152026244"/>
    <n v="46.48328815202624"/>
  </r>
  <r>
    <d v="2025-01-29T00:00:00"/>
    <s v="AD003"/>
    <s v="Placements"/>
    <x v="3"/>
    <s v="25–35 Age"/>
    <n v="258910"/>
    <n v="20306"/>
    <n v="3105"/>
    <n v="1415"/>
    <n v="615"/>
    <n v="196117.34"/>
    <n v="4520782.34"/>
    <s v="East India"/>
    <n v="1"/>
    <s v="OK"/>
    <n v="7.8428797651693642"/>
    <n v="15.291046981187826"/>
    <n v="45.571658615136876"/>
    <n v="43.462897526501763"/>
    <n v="2205.1415749367193"/>
    <n v="23.051415749367191"/>
  </r>
  <r>
    <d v="2025-01-30T00:00:00"/>
    <s v="AD003"/>
    <s v="Placements"/>
    <x v="3"/>
    <s v="17–21 Age"/>
    <n v="90143"/>
    <n v="2803"/>
    <n v="540"/>
    <n v="314"/>
    <n v="175"/>
    <n v="40656.589999999997"/>
    <n v="1007449.12"/>
    <s v="Pan India"/>
    <n v="1"/>
    <s v="OK"/>
    <n v="3.1095037884250578"/>
    <n v="19.265073135925796"/>
    <n v="58.148148148148152"/>
    <n v="55.732484076433117"/>
    <n v="2377.947904632435"/>
    <n v="24.779479046324351"/>
  </r>
  <r>
    <d v="2025-01-31T00:00:00"/>
    <s v="AD003"/>
    <s v="Placements"/>
    <x v="3"/>
    <s v="22–27 Age"/>
    <n v="85144"/>
    <n v="3382"/>
    <n v="587"/>
    <n v="296"/>
    <n v="155"/>
    <n v="42903.25"/>
    <n v="564840.05000000005"/>
    <s v="Pan India"/>
    <n v="1"/>
    <s v="OK"/>
    <n v="3.9720943343042374"/>
    <n v="17.356593731519812"/>
    <n v="50.425894378194201"/>
    <n v="52.36486486486487"/>
    <n v="1216.5437350317286"/>
    <n v="13.165437350317285"/>
  </r>
  <r>
    <d v="2025-02-01T00:00:00"/>
    <s v="AD003"/>
    <s v="Placements"/>
    <x v="3"/>
    <s v="25–35 Age"/>
    <n v="247492"/>
    <n v="18132"/>
    <n v="4384"/>
    <n v="2710"/>
    <n v="1613"/>
    <n v="189072.19"/>
    <n v="6367802.4699999997"/>
    <s v="East India"/>
    <n v="1"/>
    <s v="OK"/>
    <n v="7.3262974156740421"/>
    <n v="24.17824840061769"/>
    <n v="61.815693430656935"/>
    <n v="59.520295202952035"/>
    <n v="3267.9212527236286"/>
    <n v="33.679212527236288"/>
  </r>
  <r>
    <d v="2025-02-02T00:00:00"/>
    <s v="AD003"/>
    <s v="Placements"/>
    <x v="3"/>
    <s v="25–35 Age"/>
    <n v="131901"/>
    <n v="8460"/>
    <n v="1385"/>
    <n v="816"/>
    <n v="412"/>
    <n v="123943.03"/>
    <n v="2536624.06"/>
    <s v="East India"/>
    <n v="1"/>
    <s v="OK"/>
    <n v="6.4139013350922287"/>
    <n v="16.371158392434985"/>
    <n v="58.916967509025277"/>
    <n v="50.490196078431367"/>
    <n v="1946.6048474044892"/>
    <n v="20.466048474044889"/>
  </r>
  <r>
    <d v="2025-02-03T00:00:00"/>
    <s v="AD003"/>
    <s v="Placements"/>
    <x v="3"/>
    <s v="25–35 Age"/>
    <n v="228466"/>
    <n v="8425"/>
    <n v="1286"/>
    <n v="782"/>
    <n v="385"/>
    <n v="169210.25"/>
    <n v="1194707.96"/>
    <s v="East India"/>
    <n v="1"/>
    <s v="OK"/>
    <n v="3.6876384232227117"/>
    <n v="15.264094955489615"/>
    <n v="60.808709175738727"/>
    <n v="49.232736572890026"/>
    <n v="606.0494030355726"/>
    <n v="7.0604940303557262"/>
  </r>
  <r>
    <d v="2025-02-04T00:00:00"/>
    <s v="AD003"/>
    <s v="Placements"/>
    <x v="3"/>
    <s v="17–21 Age"/>
    <n v="224736"/>
    <n v="14914"/>
    <n v="3722"/>
    <n v="2167"/>
    <n v="1264"/>
    <n v="217968.09"/>
    <n v="3957313.4"/>
    <s v="West India"/>
    <n v="1"/>
    <s v="OK"/>
    <n v="6.6362309554321515"/>
    <n v="24.956416789593671"/>
    <n v="58.221386351423966"/>
    <n v="58.329487771112134"/>
    <n v="1715.547128939837"/>
    <n v="18.155471289398371"/>
  </r>
  <r>
    <d v="2025-02-05T00:00:00"/>
    <s v="AD003"/>
    <s v="Placements"/>
    <x v="3"/>
    <s v="25–35 Age"/>
    <n v="169022"/>
    <n v="13204"/>
    <n v="3261"/>
    <n v="1590"/>
    <n v="892"/>
    <n v="147597.12"/>
    <n v="2727577.06"/>
    <s v="West India"/>
    <n v="1"/>
    <s v="OK"/>
    <n v="7.8120008046289842"/>
    <n v="24.697061496516206"/>
    <n v="48.758049678012874"/>
    <n v="56.100628930817606"/>
    <n v="1747.9879959717373"/>
    <n v="18.479879959717373"/>
  </r>
  <r>
    <d v="2025-02-06T00:00:00"/>
    <s v="AD003"/>
    <s v="Placements"/>
    <x v="3"/>
    <s v="17–21 Age"/>
    <n v="171440"/>
    <n v="12089"/>
    <n v="2871"/>
    <n v="1782"/>
    <n v="734"/>
    <n v="118811.98"/>
    <n v="2681533.2000000002"/>
    <s v="North India"/>
    <n v="1"/>
    <s v="OK"/>
    <n v="7.0514465702286522"/>
    <n v="23.748862602365787"/>
    <n v="62.068965517241381"/>
    <n v="41.189674523007859"/>
    <n v="2156.9552329655648"/>
    <n v="22.569552329655647"/>
  </r>
  <r>
    <d v="2025-02-07T00:00:00"/>
    <s v="AD003"/>
    <s v="Placements"/>
    <x v="3"/>
    <s v="25–35 Age"/>
    <n v="157459"/>
    <n v="9897"/>
    <n v="2312"/>
    <n v="1209"/>
    <n v="650"/>
    <n v="142696.95000000001"/>
    <n v="2825372.26"/>
    <s v="North India"/>
    <n v="1"/>
    <s v="OK"/>
    <n v="6.2854457350802431"/>
    <n v="23.360614327574012"/>
    <n v="52.292387543252595"/>
    <n v="53.763440860215049"/>
    <n v="1879.9808335076534"/>
    <n v="19.799808335076534"/>
  </r>
  <r>
    <d v="2025-02-08T00:00:00"/>
    <s v="AD003"/>
    <s v="Placements"/>
    <x v="3"/>
    <s v="22–27 Age"/>
    <n v="65423"/>
    <n v="3275"/>
    <n v="709"/>
    <n v="417"/>
    <n v="179"/>
    <n v="31628.240000000002"/>
    <n v="642830.89"/>
    <s v="Pan India"/>
    <n v="1"/>
    <s v="OK"/>
    <n v="5.005884780581753"/>
    <n v="21.648854961832061"/>
    <n v="58.815232722143861"/>
    <n v="42.925659472422062"/>
    <n v="1932.4586192592442"/>
    <n v="20.324586192592442"/>
  </r>
  <r>
    <d v="2025-02-09T00:00:00"/>
    <s v="AD003"/>
    <s v="Placements"/>
    <x v="3"/>
    <s v="25–35 Age"/>
    <n v="194699"/>
    <n v="6867"/>
    <n v="1321"/>
    <n v="634"/>
    <n v="310"/>
    <n v="138099.75"/>
    <n v="2251050.92"/>
    <s v="East India"/>
    <n v="1"/>
    <s v="OK"/>
    <n v="3.5269826758226799"/>
    <n v="19.23693024610456"/>
    <n v="47.993943981831947"/>
    <n v="48.895899053627758"/>
    <n v="1530.0180992362405"/>
    <n v="16.300180992362403"/>
  </r>
  <r>
    <d v="2025-02-10T00:00:00"/>
    <s v="AD003"/>
    <s v="Placements"/>
    <x v="3"/>
    <s v="17–21 Age"/>
    <n v="258921"/>
    <n v="15451"/>
    <n v="3155"/>
    <n v="1580"/>
    <n v="846"/>
    <n v="123848.52"/>
    <n v="2990116.79"/>
    <s v="South India"/>
    <n v="1"/>
    <s v="OK"/>
    <n v="5.9674572553018095"/>
    <n v="20.41939033072293"/>
    <n v="50.079239302694134"/>
    <n v="53.544303797468352"/>
    <n v="2314.3338894966205"/>
    <n v="24.143338894966206"/>
  </r>
  <r>
    <d v="2025-02-11T00:00:00"/>
    <s v="AD003"/>
    <s v="Placements"/>
    <x v="3"/>
    <s v="22–27 Age"/>
    <n v="127232"/>
    <n v="9034"/>
    <n v="1736"/>
    <n v="1112"/>
    <n v="517"/>
    <n v="111616.5"/>
    <n v="3367905.35"/>
    <s v="East India"/>
    <n v="1"/>
    <s v="OK"/>
    <n v="7.1004149899396376"/>
    <n v="19.216294000442772"/>
    <n v="64.055299539170505"/>
    <n v="46.492805755395686"/>
    <n v="2917.3902156043237"/>
    <n v="30.173902156043237"/>
  </r>
  <r>
    <d v="2025-02-12T00:00:00"/>
    <s v="AD003"/>
    <s v="Placements"/>
    <x v="3"/>
    <s v="17–21 Age"/>
    <n v="183701"/>
    <n v="10838"/>
    <n v="1745"/>
    <n v="807"/>
    <n v="469"/>
    <n v="163799.75"/>
    <n v="2978652.97"/>
    <s v="Pan India"/>
    <n v="1"/>
    <s v="OK"/>
    <n v="5.8998045737366702"/>
    <n v="16.100756597158146"/>
    <n v="46.246418338108882"/>
    <n v="58.116480793060724"/>
    <n v="1718.4722321004763"/>
    <n v="18.184722321004763"/>
  </r>
  <r>
    <d v="2025-02-13T00:00:00"/>
    <s v="AD003"/>
    <s v="Placements"/>
    <x v="3"/>
    <s v="17–21 Age"/>
    <n v="61637"/>
    <n v="4452"/>
    <n v="790"/>
    <n v="460"/>
    <n v="264"/>
    <n v="35763.230000000003"/>
    <n v="1837127.99"/>
    <s v="South India"/>
    <n v="1"/>
    <s v="OK"/>
    <n v="7.2229342764897702"/>
    <n v="17.744833782569632"/>
    <n v="58.22784810126582"/>
    <n v="57.391304347826086"/>
    <n v="5036.9185333651349"/>
    <n v="51.369185333651345"/>
  </r>
  <r>
    <d v="2025-02-14T00:00:00"/>
    <s v="AD003"/>
    <s v="Placements"/>
    <x v="3"/>
    <s v="17–21 Age"/>
    <n v="115475"/>
    <n v="6434"/>
    <n v="1594"/>
    <n v="911"/>
    <n v="456"/>
    <n v="55074.85"/>
    <n v="1536942.26"/>
    <s v="East India"/>
    <n v="1"/>
    <s v="OK"/>
    <n v="5.5717687811214551"/>
    <n v="24.77463475287535"/>
    <n v="57.151819322459218"/>
    <n v="50.054884742041715"/>
    <n v="2690.6426617594052"/>
    <n v="27.906426617594057"/>
  </r>
  <r>
    <d v="2025-02-15T00:00:00"/>
    <s v="AD003"/>
    <s v="Placements"/>
    <x v="3"/>
    <s v="17–21 Age"/>
    <n v="242487"/>
    <n v="10557"/>
    <n v="1644"/>
    <n v="940"/>
    <n v="476"/>
    <n v="137455.20000000001"/>
    <n v="2658068.14"/>
    <s v="North India"/>
    <n v="1"/>
    <s v="OK"/>
    <n v="4.3536354526222025"/>
    <n v="15.572605853935778"/>
    <n v="57.177615571776151"/>
    <n v="50.638297872340424"/>
    <n v="1833.7705230504191"/>
    <n v="19.337705230504191"/>
  </r>
  <r>
    <d v="2025-02-16T00:00:00"/>
    <s v="AD003"/>
    <s v="Placements"/>
    <x v="3"/>
    <s v="25–35 Age"/>
    <n v="236585"/>
    <n v="7923"/>
    <n v="1495"/>
    <n v="848"/>
    <n v="467"/>
    <n v="129801.04"/>
    <n v="3083695.93"/>
    <s v="East India"/>
    <n v="1"/>
    <s v="OK"/>
    <n v="3.3489020859310612"/>
    <n v="18.869115234128486"/>
    <n v="56.722408026755858"/>
    <n v="55.070754716981128"/>
    <n v="2275.7097246678454"/>
    <n v="23.757097246678459"/>
  </r>
  <r>
    <d v="2025-02-17T00:00:00"/>
    <s v="AD003"/>
    <s v="Placements"/>
    <x v="3"/>
    <s v="22–27 Age"/>
    <n v="109605"/>
    <n v="8284"/>
    <n v="1935"/>
    <n v="1132"/>
    <n v="663"/>
    <n v="61086.21"/>
    <n v="2830034.76"/>
    <s v="Pan India"/>
    <n v="1"/>
    <s v="OK"/>
    <n v="7.5580493590620872"/>
    <n v="23.358281023660069"/>
    <n v="58.501291989664082"/>
    <n v="58.56890459363958"/>
    <n v="4532.8537324545096"/>
    <n v="46.328537324545096"/>
  </r>
  <r>
    <d v="2025-02-18T00:00:00"/>
    <s v="AD003"/>
    <s v="Placements"/>
    <x v="3"/>
    <s v="17–21 Age"/>
    <n v="59185"/>
    <n v="4390"/>
    <n v="1044"/>
    <n v="588"/>
    <n v="283"/>
    <n v="39767.599999999999"/>
    <n v="1548093.27"/>
    <s v="North India"/>
    <n v="1"/>
    <s v="OK"/>
    <n v="7.4174199543803336"/>
    <n v="23.781321184510251"/>
    <n v="56.321839080459768"/>
    <n v="48.129251700680271"/>
    <n v="3792.8506372021448"/>
    <n v="38.928506372021445"/>
  </r>
  <r>
    <d v="2025-02-19T00:00:00"/>
    <s v="AD003"/>
    <s v="Placements"/>
    <x v="3"/>
    <s v="17–21 Age"/>
    <n v="183593"/>
    <n v="5650"/>
    <n v="1015"/>
    <n v="541"/>
    <n v="288"/>
    <n v="78874.38"/>
    <n v="867564.82"/>
    <s v="Pan India"/>
    <n v="1"/>
    <s v="OK"/>
    <n v="3.077459380259596"/>
    <n v="17.964601769911503"/>
    <n v="53.300492610837438"/>
    <n v="53.234750462107208"/>
    <n v="999.93234812115156"/>
    <n v="10.999323481211515"/>
  </r>
  <r>
    <d v="2025-02-20T00:00:00"/>
    <s v="AD003"/>
    <s v="Placements"/>
    <x v="3"/>
    <s v="22–27 Age"/>
    <n v="115658"/>
    <n v="6141"/>
    <n v="1182"/>
    <n v="685"/>
    <n v="302"/>
    <n v="81667.73"/>
    <n v="2031836.19"/>
    <s v="South India"/>
    <n v="1"/>
    <s v="OK"/>
    <n v="5.3096197409604171"/>
    <n v="19.247679531021006"/>
    <n v="57.95262267343486"/>
    <n v="44.087591240875909"/>
    <n v="2387.9302877648247"/>
    <n v="24.879302877648247"/>
  </r>
  <r>
    <d v="2025-02-21T00:00:00"/>
    <s v="AD003"/>
    <s v="Placements"/>
    <x v="3"/>
    <s v="25–35 Age"/>
    <n v="125536"/>
    <n v="6373"/>
    <n v="1242"/>
    <n v="763"/>
    <n v="414"/>
    <n v="81484.23"/>
    <n v="3091570.59"/>
    <s v="South India"/>
    <n v="1"/>
    <s v="OK"/>
    <n v="5.076631404537344"/>
    <n v="19.488466970029812"/>
    <n v="61.433172302737518"/>
    <n v="54.259501965923981"/>
    <n v="3694.0722885888467"/>
    <n v="37.940722885888469"/>
  </r>
  <r>
    <d v="2025-02-22T00:00:00"/>
    <s v="AD003"/>
    <s v="Placements"/>
    <x v="3"/>
    <s v="25–35 Age"/>
    <n v="279784"/>
    <n v="19574"/>
    <n v="4822"/>
    <n v="2939"/>
    <n v="1343"/>
    <n v="143229.35"/>
    <n v="6633392.3399999999"/>
    <s v="North India"/>
    <n v="1"/>
    <s v="OK"/>
    <n v="6.9961112858490839"/>
    <n v="24.634719525901708"/>
    <n v="60.949813355454161"/>
    <n v="45.695814903028243"/>
    <n v="4531.3079965803099"/>
    <n v="46.313079965803098"/>
  </r>
  <r>
    <d v="2025-02-23T00:00:00"/>
    <s v="AD003"/>
    <s v="Placements"/>
    <x v="3"/>
    <s v="22–27 Age"/>
    <n v="141610"/>
    <n v="8320"/>
    <n v="1667"/>
    <n v="1053"/>
    <n v="595"/>
    <n v="71547.48"/>
    <n v="4297339.82"/>
    <s v="South India"/>
    <n v="1"/>
    <s v="OK"/>
    <n v="5.8752912929877832"/>
    <n v="20.036057692307693"/>
    <n v="63.167366526694657"/>
    <n v="56.505223171889838"/>
    <n v="5906.2769785882047"/>
    <n v="60.062769785882054"/>
  </r>
  <r>
    <d v="2025-02-24T00:00:00"/>
    <s v="AD003"/>
    <s v="Placements"/>
    <x v="3"/>
    <s v="25–35 Age"/>
    <n v="145064"/>
    <n v="7505"/>
    <n v="1364"/>
    <n v="661"/>
    <n v="346"/>
    <n v="74277.509999999995"/>
    <n v="1181975.04"/>
    <s v="South India"/>
    <n v="1"/>
    <s v="OK"/>
    <n v="5.1735785584293827"/>
    <n v="18.174550299800131"/>
    <n v="48.460410557184751"/>
    <n v="52.344931921331316"/>
    <n v="1491.2959925554856"/>
    <n v="15.912959925554857"/>
  </r>
  <r>
    <d v="2025-02-25T00:00:00"/>
    <s v="AD003"/>
    <s v="Placements"/>
    <x v="3"/>
    <s v="17–21 Age"/>
    <n v="298028"/>
    <n v="20642"/>
    <n v="4696"/>
    <n v="2781"/>
    <n v="1630"/>
    <n v="284889.28000000003"/>
    <n v="11577295.93"/>
    <s v="East India"/>
    <n v="1"/>
    <s v="OK"/>
    <n v="6.926194854174776"/>
    <n v="22.749733552950296"/>
    <n v="59.220613287904598"/>
    <n v="58.61201006832075"/>
    <n v="3963.7878441758139"/>
    <n v="40.63787844175814"/>
  </r>
  <r>
    <d v="2025-02-26T00:00:00"/>
    <s v="AD003"/>
    <s v="Placements"/>
    <x v="3"/>
    <s v="22–27 Age"/>
    <n v="82925"/>
    <n v="5003"/>
    <n v="1088"/>
    <n v="544"/>
    <n v="317"/>
    <n v="49214.3"/>
    <n v="2410736.98"/>
    <s v="East India"/>
    <n v="1"/>
    <s v="OK"/>
    <n v="6.0331624962315349"/>
    <n v="21.74695182890266"/>
    <n v="50"/>
    <n v="58.272058823529413"/>
    <n v="4798.4481746159145"/>
    <n v="48.98448174615914"/>
  </r>
  <r>
    <d v="2025-02-27T00:00:00"/>
    <s v="AD003"/>
    <s v="Placements"/>
    <x v="3"/>
    <s v="22–27 Age"/>
    <n v="113983"/>
    <n v="4651"/>
    <n v="940"/>
    <n v="445"/>
    <n v="184"/>
    <n v="79830.66"/>
    <n v="692151.2"/>
    <s v="North India"/>
    <n v="1"/>
    <s v="OK"/>
    <n v="4.0804330470333294"/>
    <n v="20.210707374758115"/>
    <n v="47.340425531914896"/>
    <n v="41.348314606741567"/>
    <n v="767.02427363120864"/>
    <n v="8.6702427363120869"/>
  </r>
  <r>
    <d v="2025-02-28T00:00:00"/>
    <s v="AD003"/>
    <s v="Placements"/>
    <x v="3"/>
    <s v="25–35 Age"/>
    <n v="103093"/>
    <n v="3235"/>
    <n v="665"/>
    <n v="347"/>
    <n v="181"/>
    <n v="70779.600000000006"/>
    <n v="1258576.42"/>
    <s v="North India"/>
    <n v="1"/>
    <s v="OK"/>
    <n v="3.1379434103188384"/>
    <n v="20.556414219474497"/>
    <n v="52.180451127819552"/>
    <n v="52.161383285302598"/>
    <n v="1678.1626626881189"/>
    <n v="17.781626626881188"/>
  </r>
  <r>
    <d v="2025-03-01T00:00:00"/>
    <s v="AD003"/>
    <s v="Placements"/>
    <x v="3"/>
    <s v="17–21 Age"/>
    <n v="53653"/>
    <n v="2463"/>
    <n v="459"/>
    <n v="282"/>
    <n v="149"/>
    <n v="37104.879999999997"/>
    <n v="1030118.97"/>
    <s v="East India"/>
    <n v="1"/>
    <s v="OK"/>
    <n v="4.590610031125939"/>
    <n v="18.635809987819734"/>
    <n v="61.437908496732028"/>
    <n v="52.836879432624116"/>
    <n v="2676.2358212720269"/>
    <n v="27.762358212720269"/>
  </r>
  <r>
    <d v="2025-03-02T00:00:00"/>
    <s v="AD003"/>
    <s v="Placements"/>
    <x v="3"/>
    <s v="17–21 Age"/>
    <n v="231442"/>
    <n v="13709"/>
    <n v="2805"/>
    <n v="1555"/>
    <n v="749"/>
    <n v="207424.01"/>
    <n v="4028445.09"/>
    <s v="West India"/>
    <n v="1"/>
    <s v="OK"/>
    <n v="5.9232982777542542"/>
    <n v="20.461011014661899"/>
    <n v="55.436720142602489"/>
    <n v="48.167202572347264"/>
    <n v="1842.1305614523603"/>
    <n v="19.4213056145236"/>
  </r>
  <r>
    <d v="2025-03-03T00:00:00"/>
    <s v="AD003"/>
    <s v="Placements"/>
    <x v="3"/>
    <s v="25–35 Age"/>
    <n v="134246"/>
    <n v="8250"/>
    <n v="1329"/>
    <n v="727"/>
    <n v="429"/>
    <n v="78289.58"/>
    <n v="2346719"/>
    <s v="West India"/>
    <n v="1"/>
    <s v="OK"/>
    <n v="6.1454345008417386"/>
    <n v="16.109090909090909"/>
    <n v="54.702784048156502"/>
    <n v="59.009628610729024"/>
    <n v="2897.4857445907869"/>
    <n v="29.974857445907872"/>
  </r>
  <r>
    <d v="2025-03-04T00:00:00"/>
    <s v="AD003"/>
    <s v="Placements"/>
    <x v="3"/>
    <s v="17–21 Age"/>
    <n v="131176"/>
    <n v="5409"/>
    <n v="1273"/>
    <n v="750"/>
    <n v="449"/>
    <n v="67190.070000000007"/>
    <n v="3326521.1"/>
    <s v="South India"/>
    <n v="1"/>
    <s v="OK"/>
    <n v="4.123467707507471"/>
    <n v="23.534849325198742"/>
    <n v="58.915946582875101"/>
    <n v="59.866666666666667"/>
    <n v="4850.9117939600301"/>
    <n v="49.509117939600294"/>
  </r>
  <r>
    <d v="2025-03-05T00:00:00"/>
    <s v="AD003"/>
    <s v="Placements"/>
    <x v="3"/>
    <s v="25–35 Age"/>
    <n v="75507"/>
    <n v="4191"/>
    <n v="800"/>
    <n v="373"/>
    <n v="220"/>
    <n v="68079.25"/>
    <n v="1653602.64"/>
    <s v="South India"/>
    <n v="1"/>
    <s v="OK"/>
    <n v="5.5504787635583455"/>
    <n v="19.088523025530897"/>
    <n v="46.625"/>
    <n v="58.981233243967822"/>
    <n v="2328.937804103306"/>
    <n v="24.289378041033061"/>
  </r>
  <r>
    <d v="2025-03-06T00:00:00"/>
    <s v="AD003"/>
    <s v="Placements"/>
    <x v="3"/>
    <s v="22–27 Age"/>
    <n v="188977"/>
    <n v="11714"/>
    <n v="2647"/>
    <n v="1690"/>
    <n v="798"/>
    <n v="113365.21"/>
    <n v="5029867.79"/>
    <s v="East India"/>
    <n v="1"/>
    <s v="OK"/>
    <n v="6.1986379294834828"/>
    <n v="22.596892607136759"/>
    <n v="63.845863241405368"/>
    <n v="47.218934911242606"/>
    <n v="4336.8707031019485"/>
    <n v="44.368707031019476"/>
  </r>
  <r>
    <d v="2025-03-07T00:00:00"/>
    <s v="AD003"/>
    <s v="Placements"/>
    <x v="3"/>
    <s v="22–27 Age"/>
    <n v="252677"/>
    <n v="9888"/>
    <n v="1997"/>
    <n v="964"/>
    <n v="578"/>
    <n v="105630.8"/>
    <n v="3700568.66"/>
    <s v="North India"/>
    <n v="1"/>
    <s v="OK"/>
    <n v="3.9132964219141435"/>
    <n v="20.196197411003237"/>
    <n v="48.272408612919378"/>
    <n v="59.95850622406639"/>
    <n v="3403.3045854050142"/>
    <n v="35.033045854050144"/>
  </r>
  <r>
    <d v="2025-03-08T00:00:00"/>
    <s v="AD003"/>
    <s v="Placements"/>
    <x v="3"/>
    <s v="17–21 Age"/>
    <n v="146366"/>
    <n v="8269"/>
    <n v="1633"/>
    <n v="979"/>
    <n v="429"/>
    <n v="108116.05"/>
    <n v="2625145.2200000002"/>
    <s v="East India"/>
    <n v="1"/>
    <s v="OK"/>
    <n v="5.6495360944481643"/>
    <n v="19.748458096505018"/>
    <n v="59.951010410287807"/>
    <n v="43.820224719101127"/>
    <n v="2328.0809556027993"/>
    <n v="24.280809556027993"/>
  </r>
  <r>
    <d v="2025-03-09T00:00:00"/>
    <s v="AD003"/>
    <s v="Placements"/>
    <x v="3"/>
    <s v="25–35 Age"/>
    <n v="134757"/>
    <n v="6182"/>
    <n v="1265"/>
    <n v="682"/>
    <n v="294"/>
    <n v="74426.89"/>
    <n v="1368570.59"/>
    <s v="West India"/>
    <n v="1"/>
    <s v="OK"/>
    <n v="4.5875167894803237"/>
    <n v="20.462633451957295"/>
    <n v="53.913043478260867"/>
    <n v="43.10850439882698"/>
    <n v="1738.812007326922"/>
    <n v="18.388120073269217"/>
  </r>
  <r>
    <d v="2025-03-10T00:00:00"/>
    <s v="AD003"/>
    <s v="Placements"/>
    <x v="3"/>
    <s v="22–27 Age"/>
    <n v="258417"/>
    <n v="18909"/>
    <n v="4020"/>
    <n v="2269"/>
    <n v="1059"/>
    <n v="140621.96"/>
    <n v="7367765.46"/>
    <s v="North India"/>
    <n v="1"/>
    <s v="OK"/>
    <n v="7.3172430606345555"/>
    <n v="21.259717594796129"/>
    <n v="56.442786069651739"/>
    <n v="46.672542970471575"/>
    <n v="5139.4131471357678"/>
    <n v="52.394131471357674"/>
  </r>
  <r>
    <d v="2025-03-11T00:00:00"/>
    <s v="AD003"/>
    <s v="Placements"/>
    <x v="3"/>
    <s v="22–27 Age"/>
    <n v="209874"/>
    <n v="11904"/>
    <n v="2886"/>
    <n v="1634"/>
    <n v="908"/>
    <n v="156283.1"/>
    <n v="4945752.5199999996"/>
    <s v="Pan India"/>
    <n v="1"/>
    <s v="OK"/>
    <n v="5.6719746133394322"/>
    <n v="24.243951612903224"/>
    <n v="56.618156618156625"/>
    <n v="55.569155446756426"/>
    <n v="3064.611221558825"/>
    <n v="31.646112215588246"/>
  </r>
  <r>
    <d v="2025-03-12T00:00:00"/>
    <s v="AD003"/>
    <s v="Placements"/>
    <x v="3"/>
    <s v="17–21 Age"/>
    <n v="142999"/>
    <n v="4752"/>
    <n v="762"/>
    <n v="444"/>
    <n v="200"/>
    <n v="92318.66"/>
    <n v="795253.41"/>
    <s v="Pan India"/>
    <n v="1"/>
    <s v="OK"/>
    <n v="3.3231001615395912"/>
    <n v="16.035353535353536"/>
    <n v="58.267716535433067"/>
    <n v="45.045045045045043"/>
    <n v="761.42217618843256"/>
    <n v="8.6142217618843251"/>
  </r>
  <r>
    <d v="2025-03-13T00:00:00"/>
    <s v="AD003"/>
    <s v="Placements"/>
    <x v="3"/>
    <s v="17–21 Age"/>
    <n v="250958"/>
    <n v="19914"/>
    <n v="4316"/>
    <n v="2505"/>
    <n v="1303"/>
    <n v="101670.82"/>
    <n v="4200194.37"/>
    <s v="Pan India"/>
    <n v="1"/>
    <s v="OK"/>
    <n v="7.9351923429418463"/>
    <n v="21.673194737370693"/>
    <n v="58.039851714550508"/>
    <n v="52.015968063872251"/>
    <n v="4031.1699561388409"/>
    <n v="41.311699561388409"/>
  </r>
  <r>
    <d v="2025-03-14T00:00:00"/>
    <s v="AD003"/>
    <s v="Placements"/>
    <x v="3"/>
    <s v="22–27 Age"/>
    <n v="286615"/>
    <n v="14860"/>
    <n v="3405"/>
    <n v="1582"/>
    <n v="809"/>
    <n v="174370.56"/>
    <n v="6056441.3700000001"/>
    <s v="North India"/>
    <n v="1"/>
    <s v="OK"/>
    <n v="5.1846553739336745"/>
    <n v="22.913862718707943"/>
    <n v="46.461086637298095"/>
    <n v="51.137800252844499"/>
    <n v="3373.3164646600899"/>
    <n v="34.733164646600898"/>
  </r>
  <r>
    <d v="2025-03-15T00:00:00"/>
    <s v="AD003"/>
    <s v="Placements"/>
    <x v="3"/>
    <s v="17–21 Age"/>
    <n v="184520"/>
    <n v="9112"/>
    <n v="2248"/>
    <n v="1022"/>
    <n v="476"/>
    <n v="93561.23"/>
    <n v="2941652.56"/>
    <s v="North India"/>
    <n v="1"/>
    <s v="OK"/>
    <n v="4.9382180793409924"/>
    <n v="24.670763827919227"/>
    <n v="45.462633451957295"/>
    <n v="46.575342465753423"/>
    <n v="3044.0935096727567"/>
    <n v="31.440935096727568"/>
  </r>
  <r>
    <d v="2025-03-16T00:00:00"/>
    <s v="AD003"/>
    <s v="Placements"/>
    <x v="3"/>
    <s v="22–27 Age"/>
    <n v="143329"/>
    <n v="8242"/>
    <n v="2029"/>
    <n v="1135"/>
    <n v="533"/>
    <n v="135105.23000000001"/>
    <n v="2328047.63"/>
    <s v="Pan India"/>
    <n v="1"/>
    <s v="OK"/>
    <n v="5.7504064076355794"/>
    <n v="24.61781121087115"/>
    <n v="55.938886150813204"/>
    <n v="46.960352422907484"/>
    <n v="1623.1365728773046"/>
    <n v="17.231365728773042"/>
  </r>
  <r>
    <d v="2025-03-17T00:00:00"/>
    <s v="AD003"/>
    <s v="Placements"/>
    <x v="3"/>
    <s v="17–21 Age"/>
    <n v="265195"/>
    <n v="10327"/>
    <n v="2049"/>
    <n v="1182"/>
    <n v="589"/>
    <n v="179628.87"/>
    <n v="4703747.8"/>
    <s v="South India"/>
    <n v="1"/>
    <s v="OK"/>
    <n v="3.8941156507475627"/>
    <n v="19.841192989251478"/>
    <n v="57.686676427525619"/>
    <n v="49.830795262267344"/>
    <n v="2518.5923231605252"/>
    <n v="26.185923231605255"/>
  </r>
  <r>
    <d v="2025-03-18T00:00:00"/>
    <s v="AD003"/>
    <s v="Placements"/>
    <x v="3"/>
    <s v="17–21 Age"/>
    <n v="122661"/>
    <n v="9777"/>
    <n v="2435"/>
    <n v="1113"/>
    <n v="594"/>
    <n v="87088.41"/>
    <n v="4550062.67"/>
    <s v="South India"/>
    <n v="1"/>
    <s v="OK"/>
    <n v="7.9707486487147508"/>
    <n v="24.905390201493301"/>
    <n v="45.708418891170432"/>
    <n v="53.36927223719676"/>
    <n v="5124.647768859254"/>
    <n v="52.246477688592542"/>
  </r>
  <r>
    <d v="2025-03-19T00:00:00"/>
    <s v="AD003"/>
    <s v="Placements"/>
    <x v="3"/>
    <s v="25–35 Age"/>
    <n v="256063"/>
    <n v="19097"/>
    <n v="2939"/>
    <n v="1547"/>
    <n v="914"/>
    <n v="201254.06"/>
    <n v="5172875.5"/>
    <s v="East India"/>
    <n v="1"/>
    <s v="OK"/>
    <n v="7.4579302749713943"/>
    <n v="15.389851809184687"/>
    <n v="52.636951343994554"/>
    <n v="59.082094376212027"/>
    <n v="2470.3210658209832"/>
    <n v="25.703210658209827"/>
  </r>
  <r>
    <d v="2025-03-20T00:00:00"/>
    <s v="AD003"/>
    <s v="Placements"/>
    <x v="3"/>
    <s v="22–27 Age"/>
    <n v="107546"/>
    <n v="4153"/>
    <n v="907"/>
    <n v="465"/>
    <n v="194"/>
    <n v="97757.51"/>
    <n v="602706.81000000006"/>
    <s v="West India"/>
    <n v="1"/>
    <s v="OK"/>
    <n v="3.8616034069142504"/>
    <n v="21.839633999518419"/>
    <n v="51.267916207276734"/>
    <n v="41.72043010752688"/>
    <n v="516.53248942204038"/>
    <n v="6.1653248942204044"/>
  </r>
  <r>
    <d v="2025-03-21T00:00:00"/>
    <s v="AD003"/>
    <s v="Placements"/>
    <x v="3"/>
    <s v="25–35 Age"/>
    <n v="171811"/>
    <n v="7500"/>
    <n v="1283"/>
    <n v="812"/>
    <n v="351"/>
    <n v="97292.61"/>
    <n v="2485360.11"/>
    <s v="Pan India"/>
    <n v="1"/>
    <s v="OK"/>
    <n v="4.3652618284044671"/>
    <n v="17.106666666666666"/>
    <n v="63.289166017147316"/>
    <n v="43.226600985221673"/>
    <n v="2454.5209548803346"/>
    <n v="25.545209548803346"/>
  </r>
  <r>
    <d v="2025-03-22T00:00:00"/>
    <s v="AD003"/>
    <s v="Placements"/>
    <x v="3"/>
    <s v="25–35 Age"/>
    <n v="299755"/>
    <n v="10495"/>
    <n v="1933"/>
    <n v="948"/>
    <n v="547"/>
    <n v="136254.79"/>
    <n v="3682668.74"/>
    <s v="East India"/>
    <n v="1"/>
    <s v="OK"/>
    <n v="3.5011926406565363"/>
    <n v="18.418294425917104"/>
    <n v="49.042938437661668"/>
    <n v="57.700421940928273"/>
    <n v="2602.7811205756511"/>
    <n v="27.02781120575651"/>
  </r>
  <r>
    <d v="2025-03-23T00:00:00"/>
    <s v="AD003"/>
    <s v="Placements"/>
    <x v="3"/>
    <s v="25–35 Age"/>
    <n v="196757"/>
    <n v="9869"/>
    <n v="2126"/>
    <n v="1008"/>
    <n v="595"/>
    <n v="188439.06"/>
    <n v="4032011.13"/>
    <s v="North India"/>
    <n v="1"/>
    <s v="OK"/>
    <n v="5.0158317111970598"/>
    <n v="21.542202857432365"/>
    <n v="47.412982126058324"/>
    <n v="59.027777777777779"/>
    <n v="2039.6896853550427"/>
    <n v="21.396896853550427"/>
  </r>
  <r>
    <d v="2025-03-24T00:00:00"/>
    <s v="AD003"/>
    <s v="Placements"/>
    <x v="3"/>
    <s v="22–27 Age"/>
    <n v="99084"/>
    <n v="7882"/>
    <n v="1585"/>
    <n v="875"/>
    <n v="446"/>
    <n v="56260.32"/>
    <n v="3403228.57"/>
    <s v="Pan India"/>
    <n v="1"/>
    <s v="OK"/>
    <n v="7.9548665778531342"/>
    <n v="20.109109363105809"/>
    <n v="55.205047318611989"/>
    <n v="50.971428571428568"/>
    <n v="5949.0743209423617"/>
    <n v="60.49074320942362"/>
  </r>
  <r>
    <d v="2025-03-25T00:00:00"/>
    <s v="AD003"/>
    <s v="Placements"/>
    <x v="3"/>
    <s v="22–27 Age"/>
    <n v="151038"/>
    <n v="4667"/>
    <n v="856"/>
    <n v="417"/>
    <n v="238"/>
    <n v="81008.289999999994"/>
    <n v="1443400.51"/>
    <s v="Pan India"/>
    <n v="1"/>
    <s v="OK"/>
    <n v="3.0899508732901655"/>
    <n v="18.341547032354832"/>
    <n v="48.714953271028037"/>
    <n v="57.074340527577938"/>
    <n v="1681.7935793978615"/>
    <n v="17.817935793978616"/>
  </r>
  <r>
    <d v="2025-03-26T00:00:00"/>
    <s v="AD003"/>
    <s v="Placements"/>
    <x v="3"/>
    <s v="22–27 Age"/>
    <n v="261569"/>
    <n v="10863"/>
    <n v="2582"/>
    <n v="1521"/>
    <n v="869"/>
    <n v="245885.34"/>
    <n v="3687397.28"/>
    <s v="Pan India"/>
    <n v="1"/>
    <s v="OK"/>
    <n v="4.1530150744163112"/>
    <n v="23.768756328822612"/>
    <n v="58.907823392718825"/>
    <n v="57.133464825772521"/>
    <n v="1399.6409627349071"/>
    <n v="14.996409627349072"/>
  </r>
  <r>
    <d v="2025-03-27T00:00:00"/>
    <s v="AD003"/>
    <s v="Placements"/>
    <x v="3"/>
    <s v="22–27 Age"/>
    <n v="242681"/>
    <n v="16801"/>
    <n v="3043"/>
    <n v="1834"/>
    <n v="1029"/>
    <n v="237908.01"/>
    <n v="7686272.0700000003"/>
    <s v="Pan India"/>
    <n v="1"/>
    <s v="OK"/>
    <n v="6.9230800927967167"/>
    <n v="18.112017141836795"/>
    <n v="60.26947091685836"/>
    <n v="56.106870229007633"/>
    <n v="3130.7748150219913"/>
    <n v="32.307748150219908"/>
  </r>
  <r>
    <d v="2025-03-28T00:00:00"/>
    <s v="AD003"/>
    <s v="Placements"/>
    <x v="3"/>
    <s v="17–21 Age"/>
    <n v="141344"/>
    <n v="6626"/>
    <n v="1362"/>
    <n v="827"/>
    <n v="451"/>
    <n v="134141.85"/>
    <n v="1833931.99"/>
    <s v="South India"/>
    <n v="1"/>
    <s v="OK"/>
    <n v="4.6878537468870274"/>
    <n v="20.555387865982492"/>
    <n v="60.71953010279001"/>
    <n v="54.534461910519951"/>
    <n v="1267.1587129594529"/>
    <n v="13.671587129594529"/>
  </r>
  <r>
    <d v="2025-03-29T00:00:00"/>
    <s v="AD003"/>
    <s v="Placements"/>
    <x v="3"/>
    <s v="22–27 Age"/>
    <n v="229820"/>
    <n v="11047"/>
    <n v="2019"/>
    <n v="1120"/>
    <n v="565"/>
    <n v="204934.93"/>
    <n v="2057874.91"/>
    <s v="East India"/>
    <n v="1"/>
    <s v="OK"/>
    <n v="4.8068053259072316"/>
    <n v="18.276455146193538"/>
    <n v="55.473006438831106"/>
    <n v="50.446428571428569"/>
    <n v="904.16015464030454"/>
    <n v="10.041601546403045"/>
  </r>
  <r>
    <d v="2025-03-30T00:00:00"/>
    <s v="AD003"/>
    <s v="Placements"/>
    <x v="3"/>
    <s v="25–35 Age"/>
    <n v="67576"/>
    <n v="2896"/>
    <n v="633"/>
    <n v="348"/>
    <n v="156"/>
    <n v="59665.14"/>
    <n v="761451.63"/>
    <s v="North India"/>
    <n v="1"/>
    <s v="OK"/>
    <n v="4.2855451639635378"/>
    <n v="21.857734806629832"/>
    <n v="54.976303317535546"/>
    <n v="44.827586206896555"/>
    <n v="1176.2085700293337"/>
    <n v="12.762085700293337"/>
  </r>
  <r>
    <d v="2025-03-31T00:00:00"/>
    <s v="AD003"/>
    <s v="Placements"/>
    <x v="3"/>
    <s v="22–27 Age"/>
    <n v="203412"/>
    <n v="13404"/>
    <n v="3282"/>
    <n v="1607"/>
    <n v="645"/>
    <n v="201828.55"/>
    <n v="2389203.56"/>
    <s v="North India"/>
    <n v="1"/>
    <s v="OK"/>
    <n v="6.5895817355908202"/>
    <n v="24.485228290062668"/>
    <n v="48.964046313223641"/>
    <n v="40.13690105787181"/>
    <n v="1083.7787864997297"/>
    <n v="11.837787864997297"/>
  </r>
  <r>
    <d v="2025-04-01T00:00:00"/>
    <s v="AD003"/>
    <s v="Placements"/>
    <x v="3"/>
    <s v="22–27 Age"/>
    <n v="188004"/>
    <n v="6449"/>
    <n v="1209"/>
    <n v="590"/>
    <n v="328"/>
    <n v="130079.38"/>
    <n v="1460235.88"/>
    <s v="West India"/>
    <n v="1"/>
    <s v="OK"/>
    <n v="3.4302461649752134"/>
    <n v="18.747092572491859"/>
    <n v="48.800661703887513"/>
    <n v="55.593220338983052"/>
    <n v="1022.5729089422167"/>
    <n v="11.225729089422165"/>
  </r>
  <r>
    <d v="2025-04-02T00:00:00"/>
    <s v="AD003"/>
    <s v="Placements"/>
    <x v="3"/>
    <s v="22–27 Age"/>
    <n v="126338"/>
    <n v="5512"/>
    <n v="1277"/>
    <n v="670"/>
    <n v="387"/>
    <n v="68197.679999999993"/>
    <n v="1772957.17"/>
    <s v="Pan India"/>
    <n v="1"/>
    <s v="OK"/>
    <n v="4.3628995235004515"/>
    <n v="23.167634252539912"/>
    <n v="52.466718872357085"/>
    <n v="57.761194029850749"/>
    <n v="2499.7323809255681"/>
    <n v="25.997323809255683"/>
  </r>
  <r>
    <d v="2025-04-03T00:00:00"/>
    <s v="AD003"/>
    <s v="Placements"/>
    <x v="3"/>
    <s v="22–27 Age"/>
    <n v="183191"/>
    <n v="6099"/>
    <n v="1415"/>
    <n v="770"/>
    <n v="397"/>
    <n v="74337.41"/>
    <n v="1467961.39"/>
    <s v="North India"/>
    <n v="1"/>
    <s v="OK"/>
    <n v="3.3293120295211009"/>
    <n v="23.200524676176425"/>
    <n v="54.416961130742045"/>
    <n v="51.558441558441558"/>
    <n v="1874.7276505866964"/>
    <n v="19.747276505866964"/>
  </r>
  <r>
    <d v="2025-04-04T00:00:00"/>
    <s v="AD003"/>
    <s v="Placements"/>
    <x v="3"/>
    <s v="22–27 Age"/>
    <n v="84849"/>
    <n v="3217"/>
    <n v="556"/>
    <n v="340"/>
    <n v="176"/>
    <n v="58482.3"/>
    <n v="1379402.49"/>
    <s v="Pan India"/>
    <n v="1"/>
    <s v="OK"/>
    <n v="3.7914412662494548"/>
    <n v="17.283183089835248"/>
    <n v="61.151079136690647"/>
    <n v="51.764705882352949"/>
    <n v="2258.6666222087706"/>
    <n v="23.586666222087707"/>
  </r>
  <r>
    <d v="2025-04-05T00:00:00"/>
    <s v="AD003"/>
    <s v="Placements"/>
    <x v="3"/>
    <s v="25–35 Age"/>
    <n v="197504"/>
    <n v="8509"/>
    <n v="1516"/>
    <n v="789"/>
    <n v="455"/>
    <n v="104867.15"/>
    <n v="3305228.65"/>
    <s v="Pan India"/>
    <n v="1"/>
    <s v="OK"/>
    <n v="4.3082671743357093"/>
    <n v="17.816429662710071"/>
    <n v="52.044854881266488"/>
    <n v="57.667934093789611"/>
    <n v="3051.8246181001391"/>
    <n v="31.518246181001391"/>
  </r>
  <r>
    <d v="2025-04-06T00:00:00"/>
    <s v="AD003"/>
    <s v="Placements"/>
    <x v="3"/>
    <s v="25–35 Age"/>
    <n v="69154"/>
    <n v="4707"/>
    <n v="1042"/>
    <n v="628"/>
    <n v="284"/>
    <n v="35916.58"/>
    <n v="1254290.1000000001"/>
    <s v="West India"/>
    <n v="1"/>
    <s v="OK"/>
    <n v="6.8065477051219014"/>
    <n v="22.137242404928831"/>
    <n v="60.268714011516309"/>
    <n v="45.222929936305732"/>
    <n v="3392.2314429714634"/>
    <n v="34.922314429714632"/>
  </r>
  <r>
    <d v="2025-04-07T00:00:00"/>
    <s v="AD003"/>
    <s v="Placements"/>
    <x v="3"/>
    <s v="22–27 Age"/>
    <n v="289761"/>
    <n v="22640"/>
    <n v="4750"/>
    <n v="2972"/>
    <n v="1259"/>
    <n v="178162.37"/>
    <n v="4800373.55"/>
    <s v="Pan India"/>
    <n v="1"/>
    <s v="OK"/>
    <n v="7.8133358181397767"/>
    <n v="20.980565371024735"/>
    <n v="62.568421052631585"/>
    <n v="42.362045760430689"/>
    <n v="2594.3812826468347"/>
    <n v="26.943812826468349"/>
  </r>
  <r>
    <d v="2025-04-08T00:00:00"/>
    <s v="AD003"/>
    <s v="Placements"/>
    <x v="3"/>
    <s v="22–27 Age"/>
    <n v="110803"/>
    <n v="4456"/>
    <n v="876"/>
    <n v="468"/>
    <n v="219"/>
    <n v="101061.77"/>
    <n v="951963.17"/>
    <s v="North India"/>
    <n v="1"/>
    <s v="OK"/>
    <n v="4.0215517630389064"/>
    <n v="19.658886894075405"/>
    <n v="53.424657534246577"/>
    <n v="46.794871794871796"/>
    <n v="841.96170322368187"/>
    <n v="9.41961703223682"/>
  </r>
  <r>
    <d v="2025-04-09T00:00:00"/>
    <s v="AD003"/>
    <s v="Placements"/>
    <x v="3"/>
    <s v="22–27 Age"/>
    <n v="239425"/>
    <n v="15902"/>
    <n v="2926"/>
    <n v="1870"/>
    <n v="851"/>
    <n v="148342.78"/>
    <n v="5872468.4800000004"/>
    <s v="North India"/>
    <n v="1"/>
    <s v="OK"/>
    <n v="6.6417458494309285"/>
    <n v="18.400201232549364"/>
    <n v="63.909774436090231"/>
    <n v="45.508021390374331"/>
    <n v="3858.7154022595505"/>
    <n v="39.587154022595506"/>
  </r>
  <r>
    <d v="2025-04-10T00:00:00"/>
    <s v="AD003"/>
    <s v="Placements"/>
    <x v="3"/>
    <s v="17–21 Age"/>
    <n v="70240"/>
    <n v="5540"/>
    <n v="925"/>
    <n v="577"/>
    <n v="307"/>
    <n v="40196.1"/>
    <n v="1662472.27"/>
    <s v="South India"/>
    <n v="1"/>
    <s v="OK"/>
    <n v="7.8872437357630982"/>
    <n v="16.696750902527079"/>
    <n v="62.378378378378372"/>
    <n v="53.206239168110912"/>
    <n v="4035.9044036610521"/>
    <n v="41.35904403661052"/>
  </r>
  <r>
    <d v="2025-04-11T00:00:00"/>
    <s v="AD003"/>
    <s v="Placements"/>
    <x v="3"/>
    <s v="25–35 Age"/>
    <n v="138678"/>
    <n v="6834"/>
    <n v="1173"/>
    <n v="590"/>
    <n v="294"/>
    <n v="98499.51"/>
    <n v="1157268.05"/>
    <s v="East India"/>
    <n v="1"/>
    <s v="OK"/>
    <n v="4.9279626184398388"/>
    <n v="17.164179104477611"/>
    <n v="50.298380221653879"/>
    <n v="49.830508474576277"/>
    <n v="1074.8972659863994"/>
    <n v="11.748972659863995"/>
  </r>
  <r>
    <d v="2025-04-12T00:00:00"/>
    <s v="AD003"/>
    <s v="Placements"/>
    <x v="3"/>
    <s v="22–27 Age"/>
    <n v="263247"/>
    <n v="19300"/>
    <n v="3627"/>
    <n v="2251"/>
    <n v="1126"/>
    <n v="214028.74"/>
    <n v="8518494.3200000003"/>
    <s v="West India"/>
    <n v="1"/>
    <s v="OK"/>
    <n v="7.3315175481581933"/>
    <n v="18.792746113989637"/>
    <n v="62.062310449407221"/>
    <n v="50.022212350066638"/>
    <n v="3880.0703027079448"/>
    <n v="39.80070302707945"/>
  </r>
  <r>
    <d v="2025-04-13T00:00:00"/>
    <s v="AD003"/>
    <s v="Placements"/>
    <x v="3"/>
    <s v="17–21 Age"/>
    <n v="171458"/>
    <n v="10003"/>
    <n v="1964"/>
    <n v="1248"/>
    <n v="648"/>
    <n v="93164.51"/>
    <n v="4778046.8099999996"/>
    <s v="East India"/>
    <n v="1"/>
    <s v="OK"/>
    <n v="5.8340818159549279"/>
    <n v="19.63410976706988"/>
    <n v="63.543788187372705"/>
    <n v="51.923076923076927"/>
    <n v="5028.6126122490214"/>
    <n v="51.286126122490202"/>
  </r>
  <r>
    <d v="2025-04-14T00:00:00"/>
    <s v="AD003"/>
    <s v="Placements"/>
    <x v="3"/>
    <s v="22–27 Age"/>
    <n v="172696"/>
    <n v="13622"/>
    <n v="2087"/>
    <n v="1215"/>
    <n v="682"/>
    <n v="172286.34"/>
    <n v="4380214.3"/>
    <s v="North India"/>
    <n v="1"/>
    <s v="OK"/>
    <n v="7.8878491684810301"/>
    <n v="15.320804580825136"/>
    <n v="58.217537134643024"/>
    <n v="56.131687242798357"/>
    <n v="2442.4037100097435"/>
    <n v="25.424037100097429"/>
  </r>
  <r>
    <d v="2025-04-15T00:00:00"/>
    <s v="AD003"/>
    <s v="Placements"/>
    <x v="3"/>
    <s v="17–21 Age"/>
    <n v="254916"/>
    <n v="18774"/>
    <n v="2891"/>
    <n v="1575"/>
    <n v="935"/>
    <n v="166572.54999999999"/>
    <n v="5819811.4400000004"/>
    <s v="Pan India"/>
    <n v="1"/>
    <s v="OK"/>
    <n v="7.3647789860189246"/>
    <n v="15.39895600298285"/>
    <n v="54.479418886198552"/>
    <n v="59.365079365079367"/>
    <n v="3393.8598466554067"/>
    <n v="34.938598466554069"/>
  </r>
  <r>
    <d v="2025-04-16T00:00:00"/>
    <s v="AD003"/>
    <s v="Placements"/>
    <x v="3"/>
    <s v="17–21 Age"/>
    <n v="297311"/>
    <n v="12824"/>
    <n v="2266"/>
    <n v="1065"/>
    <n v="566"/>
    <n v="177196.19"/>
    <n v="4455320.8600000003"/>
    <s v="South India"/>
    <n v="1"/>
    <s v="OK"/>
    <n v="4.3133284674969987"/>
    <n v="17.669993761696816"/>
    <n v="46.999117387466903"/>
    <n v="53.145539906103288"/>
    <n v="2414.3434856020326"/>
    <n v="25.143434856020324"/>
  </r>
  <r>
    <d v="2025-04-17T00:00:00"/>
    <s v="AD003"/>
    <s v="Placements"/>
    <x v="3"/>
    <s v="22–27 Age"/>
    <n v="187876"/>
    <n v="14537"/>
    <n v="3326"/>
    <n v="1964"/>
    <n v="1057"/>
    <n v="100656.39"/>
    <n v="4478372.76"/>
    <s v="Pan India"/>
    <n v="1"/>
    <s v="OK"/>
    <n v="7.7375502991334706"/>
    <n v="22.879548737703789"/>
    <n v="59.049909801563437"/>
    <n v="53.818737270875758"/>
    <n v="4349.1688605164563"/>
    <n v="44.491688605164562"/>
  </r>
  <r>
    <d v="2025-04-18T00:00:00"/>
    <s v="AD003"/>
    <s v="Placements"/>
    <x v="3"/>
    <s v="17–21 Age"/>
    <n v="286470"/>
    <n v="17503"/>
    <n v="2821"/>
    <n v="1744"/>
    <n v="734"/>
    <n v="214086.95"/>
    <n v="2364928.66"/>
    <s v="South India"/>
    <n v="1"/>
    <s v="OK"/>
    <n v="6.1098893426885885"/>
    <n v="16.117237045077985"/>
    <n v="61.822048918823114"/>
    <n v="42.087155963302756"/>
    <n v="1004.6580186228072"/>
    <n v="11.046580186228072"/>
  </r>
  <r>
    <d v="2025-04-19T00:00:00"/>
    <s v="AD003"/>
    <s v="Placements"/>
    <x v="3"/>
    <s v="22–27 Age"/>
    <n v="162404"/>
    <n v="11970"/>
    <n v="2624"/>
    <n v="1217"/>
    <n v="633"/>
    <n v="107823.72"/>
    <n v="4731468.72"/>
    <s v="Pan India"/>
    <n v="1"/>
    <s v="OK"/>
    <n v="7.3705081155636565"/>
    <n v="21.921470342522976"/>
    <n v="46.37957317073171"/>
    <n v="52.013147082990962"/>
    <n v="4288.1519947558854"/>
    <n v="43.881519947558843"/>
  </r>
  <r>
    <d v="2025-04-20T00:00:00"/>
    <s v="AD003"/>
    <s v="Placements"/>
    <x v="3"/>
    <s v="25–35 Age"/>
    <n v="70773"/>
    <n v="2354"/>
    <n v="502"/>
    <n v="320"/>
    <n v="137"/>
    <n v="37944.949999999997"/>
    <n v="641296.64000000001"/>
    <s v="South India"/>
    <n v="1"/>
    <s v="OK"/>
    <n v="3.3261271953993754"/>
    <n v="21.325403568394222"/>
    <n v="63.745019920318725"/>
    <n v="42.8125"/>
    <n v="1590.071116182786"/>
    <n v="16.900711161827861"/>
  </r>
  <r>
    <d v="2025-04-21T00:00:00"/>
    <s v="AD003"/>
    <s v="Placements"/>
    <x v="3"/>
    <s v="25–35 Age"/>
    <n v="92159"/>
    <n v="7283"/>
    <n v="1706"/>
    <n v="985"/>
    <n v="420"/>
    <n v="83018.34"/>
    <n v="3155986.73"/>
    <s v="West India"/>
    <n v="1"/>
    <s v="OK"/>
    <n v="7.9026465130915042"/>
    <n v="23.424413016614032"/>
    <n v="57.737397420867531"/>
    <n v="42.639593908629443"/>
    <n v="3701.5536446524957"/>
    <n v="38.015536446524948"/>
  </r>
  <r>
    <d v="2025-04-22T00:00:00"/>
    <s v="AD003"/>
    <s v="Placements"/>
    <x v="3"/>
    <s v="17–21 Age"/>
    <n v="214210"/>
    <n v="12044"/>
    <n v="2322"/>
    <n v="1116"/>
    <n v="510"/>
    <n v="92410"/>
    <n v="4047072.48"/>
    <s v="East India"/>
    <n v="1"/>
    <s v="OK"/>
    <n v="5.6225199570514919"/>
    <n v="19.27930919960146"/>
    <n v="48.062015503875969"/>
    <n v="45.698924731182792"/>
    <n v="4279.4746023157668"/>
    <n v="43.794746023157664"/>
  </r>
  <r>
    <d v="2025-04-23T00:00:00"/>
    <s v="AD003"/>
    <s v="Placements"/>
    <x v="3"/>
    <s v="17–21 Age"/>
    <n v="89597"/>
    <n v="3957"/>
    <n v="914"/>
    <n v="497"/>
    <n v="220"/>
    <n v="56902.12"/>
    <n v="917613.33"/>
    <s v="East India"/>
    <n v="1"/>
    <s v="OK"/>
    <n v="4.4164425148163442"/>
    <n v="23.098306798079353"/>
    <n v="54.376367614879648"/>
    <n v="44.265593561368213"/>
    <n v="1512.6171221740067"/>
    <n v="16.126171221740066"/>
  </r>
  <r>
    <d v="2025-04-24T00:00:00"/>
    <s v="AD003"/>
    <s v="Placements"/>
    <x v="3"/>
    <s v="22–27 Age"/>
    <n v="219815"/>
    <n v="15931"/>
    <n v="2530"/>
    <n v="1544"/>
    <n v="888"/>
    <n v="106057.04"/>
    <n v="6164863.6699999999"/>
    <s v="Pan India"/>
    <n v="1"/>
    <s v="OK"/>
    <n v="7.2474580897572958"/>
    <n v="15.880986755382587"/>
    <n v="61.027667984189726"/>
    <n v="57.512953367875653"/>
    <n v="5712.7811883114973"/>
    <n v="58.127811883114973"/>
  </r>
  <r>
    <d v="2025-04-25T00:00:00"/>
    <s v="AD003"/>
    <s v="Placements"/>
    <x v="3"/>
    <s v="17–21 Age"/>
    <n v="155800"/>
    <n v="6865"/>
    <n v="1272"/>
    <n v="765"/>
    <n v="363"/>
    <n v="69361.47"/>
    <n v="1831892.26"/>
    <s v="East India"/>
    <n v="1"/>
    <s v="OK"/>
    <n v="4.4062901155327339"/>
    <n v="18.528769118718134"/>
    <n v="60.141509433962256"/>
    <n v="47.450980392156858"/>
    <n v="2541.0805018982442"/>
    <n v="26.41080501898244"/>
  </r>
  <r>
    <d v="2025-04-26T00:00:00"/>
    <s v="AD003"/>
    <s v="Placements"/>
    <x v="3"/>
    <s v="25–35 Age"/>
    <n v="78865"/>
    <n v="2545"/>
    <n v="595"/>
    <n v="378"/>
    <n v="152"/>
    <n v="70156.08"/>
    <n v="1136108.8700000001"/>
    <s v="Pan India"/>
    <n v="1"/>
    <s v="OK"/>
    <n v="3.227033538324986"/>
    <n v="23.379174852652259"/>
    <n v="63.529411764705877"/>
    <n v="40.211640211640209"/>
    <n v="1519.4018679492926"/>
    <n v="16.194018679492928"/>
  </r>
  <r>
    <d v="2025-04-27T00:00:00"/>
    <s v="AD003"/>
    <s v="Placements"/>
    <x v="3"/>
    <s v="25–35 Age"/>
    <n v="106441"/>
    <n v="7731"/>
    <n v="1827"/>
    <n v="1072"/>
    <n v="449"/>
    <n v="93059.67"/>
    <n v="1626663.82"/>
    <s v="Pan India"/>
    <n v="1"/>
    <s v="OK"/>
    <n v="7.2631786623575501"/>
    <n v="23.632130384167638"/>
    <n v="58.675424192665574"/>
    <n v="41.884328358208954"/>
    <n v="1647.9793556112977"/>
    <n v="17.479793556112977"/>
  </r>
  <r>
    <d v="2025-04-28T00:00:00"/>
    <s v="AD003"/>
    <s v="Placements"/>
    <x v="3"/>
    <s v="22–27 Age"/>
    <n v="108582"/>
    <n v="6075"/>
    <n v="1445"/>
    <n v="861"/>
    <n v="472"/>
    <n v="61991.73"/>
    <n v="2863429.47"/>
    <s v="South India"/>
    <n v="1"/>
    <s v="OK"/>
    <n v="5.5948499751340002"/>
    <n v="23.786008230452673"/>
    <n v="59.584775086505189"/>
    <n v="54.819976771196288"/>
    <n v="4519.0507508017599"/>
    <n v="46.190507508017603"/>
  </r>
  <r>
    <d v="2025-04-29T00:00:00"/>
    <s v="AD003"/>
    <s v="Placements"/>
    <x v="3"/>
    <s v="22–27 Age"/>
    <n v="203313"/>
    <n v="15538"/>
    <n v="2353"/>
    <n v="1144"/>
    <n v="655"/>
    <n v="145045.48000000001"/>
    <n v="4987053.71"/>
    <s v="West India"/>
    <n v="1"/>
    <s v="OK"/>
    <n v="7.6424035846207579"/>
    <n v="15.143519114429141"/>
    <n v="48.618784530386741"/>
    <n v="57.25524475524476"/>
    <n v="3338.2689553648961"/>
    <n v="34.382689553648966"/>
  </r>
  <r>
    <d v="2025-04-30T00:00:00"/>
    <s v="AD003"/>
    <s v="Placements"/>
    <x v="3"/>
    <s v="25–35 Age"/>
    <n v="220384"/>
    <n v="8142"/>
    <n v="1402"/>
    <n v="907"/>
    <n v="369"/>
    <n v="152034.62"/>
    <n v="2102559.65"/>
    <s v="Pan India"/>
    <n v="1"/>
    <s v="OK"/>
    <n v="3.6944605779003923"/>
    <n v="17.219356423483173"/>
    <n v="64.693295292439373"/>
    <n v="40.683572216097026"/>
    <n v="1282.9479430408678"/>
    <n v="13.829479430408679"/>
  </r>
  <r>
    <d v="2025-05-01T00:00:00"/>
    <s v="AD002"/>
    <s v="MBA Admission"/>
    <x v="4"/>
    <s v="21–35 Age"/>
    <n v="240139"/>
    <n v="11309"/>
    <n v="1987"/>
    <n v="1165"/>
    <n v="696"/>
    <n v="180456.12"/>
    <n v="4208817.8499999996"/>
    <s v="Pan India"/>
    <n v="1"/>
    <s v="OK"/>
    <n v="4.7093558314143058"/>
    <n v="17.570076929878859"/>
    <n v="58.631102164066426"/>
    <n v="59.742489270386265"/>
    <n v="2232.3220348525724"/>
    <n v="23.323220348525723"/>
  </r>
  <r>
    <d v="2025-05-01T00:00:00"/>
    <s v="AD003"/>
    <s v="Placements"/>
    <x v="3"/>
    <s v="22–27 Age"/>
    <n v="289903"/>
    <n v="22942"/>
    <n v="4003"/>
    <n v="2536"/>
    <n v="1136"/>
    <n v="276281.53000000003"/>
    <n v="6468438.0599999996"/>
    <s v="East India"/>
    <n v="1"/>
    <s v="OK"/>
    <n v="7.9136814727684772"/>
    <n v="17.448348008020226"/>
    <n v="63.352485635773171"/>
    <n v="44.794952681388011"/>
    <n v="2241.2488196369836"/>
    <n v="23.412488196369836"/>
  </r>
  <r>
    <d v="2025-05-02T00:00:00"/>
    <s v="AD002"/>
    <s v="MBA Admission"/>
    <x v="4"/>
    <s v="21–35 Age"/>
    <n v="145953"/>
    <n v="6934"/>
    <n v="1681"/>
    <n v="974"/>
    <n v="435"/>
    <n v="80170.2"/>
    <n v="2531628.96"/>
    <s v="West India"/>
    <n v="1"/>
    <s v="OK"/>
    <n v="4.750844449925661"/>
    <n v="24.242861263340064"/>
    <n v="57.94170136823319"/>
    <n v="44.661190965092402"/>
    <n v="3057.8179423276974"/>
    <n v="31.578179423276978"/>
  </r>
  <r>
    <d v="2025-05-02T00:00:00"/>
    <s v="AD003"/>
    <s v="Placements"/>
    <x v="3"/>
    <s v="17–21 Age"/>
    <n v="224774"/>
    <n v="8087"/>
    <n v="1510"/>
    <n v="927"/>
    <n v="437"/>
    <n v="144246.98000000001"/>
    <n v="2806122.06"/>
    <s v="Pan India"/>
    <n v="1"/>
    <s v="OK"/>
    <n v="3.5978360486533143"/>
    <n v="18.671942623964387"/>
    <n v="61.390728476821188"/>
    <n v="47.141316073354908"/>
    <n v="1845.3593135884023"/>
    <n v="19.453593135884024"/>
  </r>
  <r>
    <d v="2025-05-03T00:00:00"/>
    <s v="AD002"/>
    <s v="MBA Admission"/>
    <x v="4"/>
    <s v="21–35 Age"/>
    <n v="125764"/>
    <n v="4601"/>
    <n v="978"/>
    <n v="630"/>
    <n v="302"/>
    <n v="67771.58"/>
    <n v="2349380.39"/>
    <s v="North India"/>
    <n v="1"/>
    <s v="OK"/>
    <n v="3.6584396170605258"/>
    <n v="21.256248641599651"/>
    <n v="64.417177914110425"/>
    <n v="47.936507936507937"/>
    <n v="3366.6159325192061"/>
    <n v="34.666159325192062"/>
  </r>
  <r>
    <d v="2025-05-03T00:00:00"/>
    <s v="AD003"/>
    <s v="Placements"/>
    <x v="3"/>
    <s v="22–27 Age"/>
    <n v="283215"/>
    <n v="9156"/>
    <n v="1720"/>
    <n v="956"/>
    <n v="382"/>
    <n v="274488.3"/>
    <n v="1491751.11"/>
    <s v="East India"/>
    <n v="1"/>
    <s v="OK"/>
    <n v="3.2328796144272016"/>
    <n v="18.785495849716032"/>
    <n v="55.581395348837212"/>
    <n v="39.9581589958159"/>
    <n v="443.46619145515496"/>
    <n v="5.4346619145515502"/>
  </r>
  <r>
    <d v="2025-05-04T00:00:00"/>
    <s v="AD002"/>
    <s v="MBA Admission"/>
    <x v="4"/>
    <s v="21–35 Age"/>
    <n v="254360"/>
    <n v="11109"/>
    <n v="2734"/>
    <n v="1480"/>
    <n v="668"/>
    <n v="226644.84"/>
    <n v="2792259.85"/>
    <s v="North India"/>
    <n v="1"/>
    <s v="OK"/>
    <n v="4.3674319861613462"/>
    <n v="24.610676028445404"/>
    <n v="54.133138258961232"/>
    <n v="45.135135135135137"/>
    <n v="1131.9979797466381"/>
    <n v="12.319979797466381"/>
  </r>
  <r>
    <d v="2025-05-04T00:00:00"/>
    <s v="AD003"/>
    <s v="Placements"/>
    <x v="3"/>
    <s v="25–35 Age"/>
    <n v="67770"/>
    <n v="4813"/>
    <n v="744"/>
    <n v="355"/>
    <n v="155"/>
    <n v="62523.21"/>
    <n v="1032514.49"/>
    <s v="South India"/>
    <n v="1"/>
    <s v="OK"/>
    <n v="7.1019625202892138"/>
    <n v="15.458134219821318"/>
    <n v="47.715053763440864"/>
    <n v="43.661971830985912"/>
    <n v="1551.4099164134407"/>
    <n v="16.514099164134407"/>
  </r>
  <r>
    <d v="2025-05-05T00:00:00"/>
    <s v="AD002"/>
    <s v="MBA Admission"/>
    <x v="4"/>
    <s v="21–35 Age"/>
    <n v="208578"/>
    <n v="12706"/>
    <n v="2381"/>
    <n v="1311"/>
    <n v="655"/>
    <n v="116823.1"/>
    <n v="2987311.77"/>
    <s v="West India"/>
    <n v="1"/>
    <s v="OK"/>
    <n v="6.0917258771298988"/>
    <n v="18.739178340941287"/>
    <n v="55.06089878202436"/>
    <n v="49.961861174675818"/>
    <n v="2457.1242074555457"/>
    <n v="25.57124207455546"/>
  </r>
  <r>
    <d v="2025-05-05T00:00:00"/>
    <s v="AD003"/>
    <s v="Placements"/>
    <x v="3"/>
    <s v="22–27 Age"/>
    <n v="104892"/>
    <n v="8197"/>
    <n v="1255"/>
    <n v="616"/>
    <n v="347"/>
    <n v="51518.58"/>
    <n v="2149275.48"/>
    <s v="East India"/>
    <n v="1"/>
    <s v="OK"/>
    <n v="7.8147046485909311"/>
    <n v="15.310479443698915"/>
    <n v="49.083665338645417"/>
    <n v="56.331168831168831"/>
    <n v="4071.8453420105911"/>
    <n v="41.718453420105909"/>
  </r>
  <r>
    <d v="2025-05-06T00:00:00"/>
    <s v="AD002"/>
    <s v="MBA Admission"/>
    <x v="4"/>
    <s v="21–35 Age"/>
    <n v="174201"/>
    <n v="12488"/>
    <n v="2889"/>
    <n v="1838"/>
    <n v="796"/>
    <n v="133968.34"/>
    <n v="4993434.2300000004"/>
    <s v="West India"/>
    <n v="1"/>
    <s v="OK"/>
    <n v="7.16873037468212"/>
    <n v="23.134208840486867"/>
    <n v="63.620629975770157"/>
    <n v="43.307943416757347"/>
    <n v="3627.3241050833358"/>
    <n v="37.273241050833356"/>
  </r>
  <r>
    <d v="2025-05-06T00:00:00"/>
    <s v="AD003"/>
    <s v="Placements"/>
    <x v="3"/>
    <s v="22–27 Age"/>
    <n v="204932"/>
    <n v="9551"/>
    <n v="2028"/>
    <n v="1175"/>
    <n v="688"/>
    <n v="119604.48"/>
    <n v="2530463.62"/>
    <s v="South India"/>
    <n v="1"/>
    <s v="OK"/>
    <n v="4.6605703355259305"/>
    <n v="21.23337870380065"/>
    <n v="57.938856015779095"/>
    <n v="58.553191489361701"/>
    <n v="2015.6930074860074"/>
    <n v="21.156930074860075"/>
  </r>
  <r>
    <d v="2025-05-07T00:00:00"/>
    <s v="AD002"/>
    <s v="MBA Admission"/>
    <x v="4"/>
    <s v="21–35 Age"/>
    <n v="281251"/>
    <n v="18428"/>
    <n v="4606"/>
    <n v="2913"/>
    <n v="1585"/>
    <n v="223349.7"/>
    <n v="7253636.4699999997"/>
    <s v="Pan India"/>
    <n v="1"/>
    <s v="OK"/>
    <n v="6.5521544812285111"/>
    <n v="24.994573475146517"/>
    <n v="63.243595310464606"/>
    <n v="54.411259869550285"/>
    <n v="3147.6589267861114"/>
    <n v="32.476589267861115"/>
  </r>
  <r>
    <d v="2025-05-07T00:00:00"/>
    <s v="AD003"/>
    <s v="Placements"/>
    <x v="3"/>
    <s v="22–27 Age"/>
    <n v="126647"/>
    <n v="7408"/>
    <n v="1738"/>
    <n v="883"/>
    <n v="464"/>
    <n v="97271.17"/>
    <n v="1785615.46"/>
    <s v="Pan India"/>
    <n v="1"/>
    <s v="OK"/>
    <n v="5.8493292379606308"/>
    <n v="23.461123110151188"/>
    <n v="50.805523590333713"/>
    <n v="52.54813137032842"/>
    <n v="1735.7088333573042"/>
    <n v="18.357088333573042"/>
  </r>
  <r>
    <d v="2025-05-08T00:00:00"/>
    <s v="AD002"/>
    <s v="MBA Admission"/>
    <x v="4"/>
    <s v="21–35 Age"/>
    <n v="97979"/>
    <n v="3175"/>
    <n v="583"/>
    <n v="301"/>
    <n v="168"/>
    <n v="58564.33"/>
    <n v="529563.73"/>
    <s v="East India"/>
    <n v="1"/>
    <s v="OK"/>
    <n v="3.2404903091478787"/>
    <n v="18.362204724409448"/>
    <n v="51.629502572898801"/>
    <n v="55.813953488372093"/>
    <n v="804.24278737586508"/>
    <n v="9.0424278737586512"/>
  </r>
  <r>
    <d v="2025-05-08T00:00:00"/>
    <s v="AD003"/>
    <s v="Placements"/>
    <x v="3"/>
    <s v="25–35 Age"/>
    <n v="154994"/>
    <n v="5796"/>
    <n v="1347"/>
    <n v="863"/>
    <n v="431"/>
    <n v="121038.69"/>
    <n v="2196417.2200000002"/>
    <s v="South India"/>
    <n v="1"/>
    <s v="OK"/>
    <n v="3.7394995935326532"/>
    <n v="23.240165631469981"/>
    <n v="64.068299925760954"/>
    <n v="49.942062572421783"/>
    <n v="1714.6406078915761"/>
    <n v="18.14640607891576"/>
  </r>
  <r>
    <d v="2025-05-09T00:00:00"/>
    <s v="AD002"/>
    <s v="MBA Admission"/>
    <x v="4"/>
    <s v="21–35 Age"/>
    <n v="258980"/>
    <n v="19662"/>
    <n v="3598"/>
    <n v="1763"/>
    <n v="758"/>
    <n v="228071.85"/>
    <n v="4909073.6100000003"/>
    <s v="North India"/>
    <n v="1"/>
    <s v="OK"/>
    <n v="7.5920920534404202"/>
    <n v="18.299257450920557"/>
    <n v="48.999444135630903"/>
    <n v="42.99489506522972"/>
    <n v="2052.4241637010446"/>
    <n v="21.524241637010444"/>
  </r>
  <r>
    <d v="2025-05-09T00:00:00"/>
    <s v="AD003"/>
    <s v="Placements"/>
    <x v="3"/>
    <s v="22–27 Age"/>
    <n v="108431"/>
    <n v="6177"/>
    <n v="1134"/>
    <n v="595"/>
    <n v="240"/>
    <n v="100523.61"/>
    <n v="897404.11"/>
    <s v="East India"/>
    <n v="1"/>
    <s v="OK"/>
    <n v="5.6967103503610588"/>
    <n v="18.358426420592522"/>
    <n v="52.469135802469133"/>
    <n v="40.336134453781511"/>
    <n v="792.72968808024302"/>
    <n v="8.9272968808024302"/>
  </r>
  <r>
    <d v="2025-05-10T00:00:00"/>
    <s v="AD002"/>
    <s v="MBA Admission"/>
    <x v="4"/>
    <s v="21–35 Age"/>
    <n v="51259"/>
    <n v="3592"/>
    <n v="541"/>
    <n v="312"/>
    <n v="131"/>
    <n v="24423.78"/>
    <n v="722680.3"/>
    <s v="Pan India"/>
    <n v="1"/>
    <s v="OK"/>
    <n v="7.0075498936772078"/>
    <n v="15.061247216035634"/>
    <n v="57.670979667282808"/>
    <n v="41.987179487179489"/>
    <n v="2858.920773115382"/>
    <n v="29.58920773115382"/>
  </r>
  <r>
    <d v="2025-05-10T00:00:00"/>
    <s v="AD003"/>
    <s v="Placements"/>
    <x v="3"/>
    <s v="22–27 Age"/>
    <n v="128908"/>
    <n v="5068"/>
    <n v="994"/>
    <n v="535"/>
    <n v="273"/>
    <n v="101891.88"/>
    <n v="1320648.3600000001"/>
    <s v="Pan India"/>
    <n v="1"/>
    <s v="OK"/>
    <n v="3.9314860210382601"/>
    <n v="19.613259668508288"/>
    <n v="53.822937625754527"/>
    <n v="51.028037383177569"/>
    <n v="1196.1271889379211"/>
    <n v="12.961271889379214"/>
  </r>
  <r>
    <d v="2025-05-11T00:00:00"/>
    <s v="AD002"/>
    <s v="MBA Admission"/>
    <x v="4"/>
    <s v="21–35 Age"/>
    <n v="107884"/>
    <n v="5598"/>
    <n v="1238"/>
    <n v="596"/>
    <n v="240"/>
    <n v="51643.69"/>
    <n v="862353.37"/>
    <s v="South India"/>
    <n v="1"/>
    <s v="OK"/>
    <n v="5.1889066033888254"/>
    <n v="22.115041086102181"/>
    <n v="48.142164781906303"/>
    <n v="40.268456375838923"/>
    <n v="1569.8136209864165"/>
    <n v="16.698136209864167"/>
  </r>
  <r>
    <d v="2025-05-11T00:00:00"/>
    <s v="AD003"/>
    <s v="Placements"/>
    <x v="3"/>
    <s v="22–27 Age"/>
    <n v="281759"/>
    <n v="18036"/>
    <n v="3182"/>
    <n v="2035"/>
    <n v="1042"/>
    <n v="149263.62"/>
    <n v="7035403.1900000004"/>
    <s v="Pan India"/>
    <n v="1"/>
    <s v="OK"/>
    <n v="6.4012152229387524"/>
    <n v="17.642492792193391"/>
    <n v="63.953488372093027"/>
    <n v="51.203931203931205"/>
    <n v="4613.407855175964"/>
    <n v="47.134078551759636"/>
  </r>
  <r>
    <d v="2025-05-12T00:00:00"/>
    <s v="AD002"/>
    <s v="MBA Admission"/>
    <x v="4"/>
    <s v="21–35 Age"/>
    <n v="109219"/>
    <n v="6309"/>
    <n v="1002"/>
    <n v="621"/>
    <n v="302"/>
    <n v="80141.73"/>
    <n v="1535750.35"/>
    <s v="Pan India"/>
    <n v="1"/>
    <s v="OK"/>
    <n v="5.7764674644521552"/>
    <n v="15.882073228720875"/>
    <n v="61.97604790419161"/>
    <n v="48.631239935587764"/>
    <n v="1816.292984940555"/>
    <n v="19.16292984940555"/>
  </r>
  <r>
    <d v="2025-05-12T00:00:00"/>
    <s v="AD003"/>
    <s v="Placements"/>
    <x v="3"/>
    <s v="17–21 Age"/>
    <n v="56655"/>
    <n v="3075"/>
    <n v="664"/>
    <n v="314"/>
    <n v="152"/>
    <n v="22689.88"/>
    <n v="1129547.78"/>
    <s v="Pan India"/>
    <n v="1"/>
    <s v="OK"/>
    <n v="5.4275880328302879"/>
    <n v="21.59349593495935"/>
    <n v="47.289156626506021"/>
    <n v="48.407643312101911"/>
    <n v="4878.2007661565422"/>
    <n v="49.782007661565416"/>
  </r>
  <r>
    <d v="2025-05-13T00:00:00"/>
    <s v="AD002"/>
    <s v="MBA Admission"/>
    <x v="4"/>
    <s v="21–35 Age"/>
    <n v="127468"/>
    <n v="5926"/>
    <n v="1247"/>
    <n v="622"/>
    <n v="336"/>
    <n v="101926.37"/>
    <n v="1859496.88"/>
    <s v="North India"/>
    <n v="1"/>
    <s v="OK"/>
    <n v="4.6490099475946911"/>
    <n v="21.042861964225448"/>
    <n v="49.879711307137129"/>
    <n v="54.019292604501615"/>
    <n v="1724.3530893918817"/>
    <n v="18.243530893918816"/>
  </r>
  <r>
    <d v="2025-05-13T00:00:00"/>
    <s v="AD003"/>
    <s v="Placements"/>
    <x v="3"/>
    <s v="22–27 Age"/>
    <n v="263989"/>
    <n v="20499"/>
    <n v="4960"/>
    <n v="3112"/>
    <n v="1581"/>
    <n v="241710.75"/>
    <n v="10422582.66"/>
    <s v="East India"/>
    <n v="1"/>
    <s v="OK"/>
    <n v="7.7650962729507667"/>
    <n v="24.196302258646764"/>
    <n v="62.741935483870968"/>
    <n v="50.803341902313626"/>
    <n v="4212.0062554106507"/>
    <n v="43.120062554106511"/>
  </r>
  <r>
    <d v="2025-05-14T00:00:00"/>
    <s v="AD002"/>
    <s v="MBA Admission"/>
    <x v="4"/>
    <s v="21–35 Age"/>
    <n v="216556"/>
    <n v="14437"/>
    <n v="2858"/>
    <n v="1623"/>
    <n v="754"/>
    <n v="187567.69"/>
    <n v="2602263.33"/>
    <s v="North India"/>
    <n v="1"/>
    <s v="OK"/>
    <n v="6.6666358817118896"/>
    <n v="19.796356583777794"/>
    <n v="56.787963610916727"/>
    <n v="46.457178065311147"/>
    <n v="1287.3729158790622"/>
    <n v="13.873729158790621"/>
  </r>
  <r>
    <d v="2025-05-14T00:00:00"/>
    <s v="AD003"/>
    <s v="Placements"/>
    <x v="3"/>
    <s v="25–35 Age"/>
    <n v="176419"/>
    <n v="6312"/>
    <n v="1409"/>
    <n v="877"/>
    <n v="517"/>
    <n v="156086.32"/>
    <n v="3922073.17"/>
    <s v="North India"/>
    <n v="1"/>
    <s v="OK"/>
    <n v="3.5778459236250066"/>
    <n v="22.322560202788338"/>
    <n v="62.242725337118522"/>
    <n v="58.950969213226912"/>
    <n v="2412.7590745941093"/>
    <n v="25.127590745941092"/>
  </r>
  <r>
    <d v="2025-05-15T00:00:00"/>
    <s v="AD002"/>
    <s v="MBA Admission"/>
    <x v="4"/>
    <s v="21–35 Age"/>
    <n v="104288"/>
    <n v="4814"/>
    <n v="768"/>
    <n v="360"/>
    <n v="179"/>
    <n v="86527.19"/>
    <n v="937902.93"/>
    <s v="West India"/>
    <n v="1"/>
    <s v="OK"/>
    <n v="4.6160632095734888"/>
    <n v="15.953469048608227"/>
    <n v="46.875"/>
    <n v="49.722222222222221"/>
    <n v="983.94012333001899"/>
    <n v="10.839401233300192"/>
  </r>
  <r>
    <d v="2025-05-15T00:00:00"/>
    <s v="AD003"/>
    <s v="Placements"/>
    <x v="3"/>
    <s v="25–35 Age"/>
    <n v="246319"/>
    <n v="18568"/>
    <n v="2933"/>
    <n v="1874"/>
    <n v="956"/>
    <n v="223803.59"/>
    <n v="5348861.97"/>
    <s v="Pan India"/>
    <n v="1"/>
    <s v="OK"/>
    <n v="7.5381923440741474"/>
    <n v="15.795993106419647"/>
    <n v="63.893624275485848"/>
    <n v="51.013874066168619"/>
    <n v="2289.9804154169287"/>
    <n v="23.899804154169285"/>
  </r>
  <r>
    <d v="2025-05-16T00:00:00"/>
    <s v="AD002"/>
    <s v="MBA Admission"/>
    <x v="4"/>
    <s v="21–35 Age"/>
    <n v="272620"/>
    <n v="19195"/>
    <n v="3980"/>
    <n v="1800"/>
    <n v="723"/>
    <n v="190013.67"/>
    <n v="4634332.3600000003"/>
    <s v="East India"/>
    <n v="1"/>
    <s v="OK"/>
    <n v="7.0409361015332701"/>
    <n v="20.734566293305548"/>
    <n v="45.226130653266331"/>
    <n v="40.166666666666664"/>
    <n v="2338.9468189315012"/>
    <n v="24.389468189315011"/>
  </r>
  <r>
    <d v="2025-05-16T00:00:00"/>
    <s v="AD003"/>
    <s v="Placements"/>
    <x v="3"/>
    <s v="17–21 Age"/>
    <n v="135416"/>
    <n v="9754"/>
    <n v="1804"/>
    <n v="831"/>
    <n v="444"/>
    <n v="111777.17"/>
    <n v="2526118.0699999998"/>
    <s v="West India"/>
    <n v="1"/>
    <s v="OK"/>
    <n v="7.2029893070242812"/>
    <n v="18.494976419930286"/>
    <n v="46.064301552106429"/>
    <n v="53.429602888086649"/>
    <n v="2159.9588717445608"/>
    <n v="22.599588717445609"/>
  </r>
  <r>
    <d v="2025-05-17T00:00:00"/>
    <s v="AD002"/>
    <s v="MBA Admission"/>
    <x v="4"/>
    <s v="21–35 Age"/>
    <n v="205846"/>
    <n v="16047"/>
    <n v="2839"/>
    <n v="1461"/>
    <n v="602"/>
    <n v="109111.63"/>
    <n v="3266642.53"/>
    <s v="Pan India"/>
    <n v="1"/>
    <s v="OK"/>
    <n v="7.795633629023639"/>
    <n v="17.691780395089424"/>
    <n v="51.461782317717507"/>
    <n v="41.204654346338124"/>
    <n v="2893.8536616124234"/>
    <n v="29.938536616124235"/>
  </r>
  <r>
    <d v="2025-05-17T00:00:00"/>
    <s v="AD003"/>
    <s v="Placements"/>
    <x v="3"/>
    <s v="17–21 Age"/>
    <n v="277369"/>
    <n v="9937"/>
    <n v="2473"/>
    <n v="1558"/>
    <n v="780"/>
    <n v="197982.71"/>
    <n v="4085031.86"/>
    <s v="West India"/>
    <n v="1"/>
    <s v="OK"/>
    <n v="3.5825921425970457"/>
    <n v="24.886786756566366"/>
    <n v="63.000404367165387"/>
    <n v="50.064184852374837"/>
    <n v="1963.3275804740726"/>
    <n v="20.633275804740727"/>
  </r>
  <r>
    <d v="2025-05-18T00:00:00"/>
    <s v="AD002"/>
    <s v="MBA Admission"/>
    <x v="4"/>
    <s v="21–35 Age"/>
    <n v="73028"/>
    <n v="3043"/>
    <n v="537"/>
    <n v="345"/>
    <n v="157"/>
    <n v="45541.08"/>
    <n v="698667.79"/>
    <s v="North India"/>
    <n v="1"/>
    <s v="OK"/>
    <n v="4.166894889631374"/>
    <n v="17.647058823529413"/>
    <n v="64.245810055865931"/>
    <n v="45.507246376811594"/>
    <n v="1434.1484874754838"/>
    <n v="15.341484874754837"/>
  </r>
  <r>
    <d v="2025-05-18T00:00:00"/>
    <s v="AD003"/>
    <s v="Placements"/>
    <x v="3"/>
    <s v="17–21 Age"/>
    <n v="154431"/>
    <n v="8758"/>
    <n v="1526"/>
    <n v="770"/>
    <n v="401"/>
    <n v="67378.69"/>
    <n v="3182834.15"/>
    <s v="South India"/>
    <n v="1"/>
    <s v="OK"/>
    <n v="5.6711411568920749"/>
    <n v="17.424069422242521"/>
    <n v="50.458715596330272"/>
    <n v="52.077922077922082"/>
    <n v="4623.7993941407876"/>
    <n v="47.237993941407879"/>
  </r>
  <r>
    <d v="2025-05-19T00:00:00"/>
    <s v="AD002"/>
    <s v="MBA Admission"/>
    <x v="4"/>
    <s v="21–35 Age"/>
    <n v="129271"/>
    <n v="8596"/>
    <n v="1731"/>
    <n v="909"/>
    <n v="413"/>
    <n v="61223.519999999997"/>
    <n v="3212616.4"/>
    <s v="East India"/>
    <n v="1"/>
    <s v="OK"/>
    <n v="6.6495965839206015"/>
    <n v="20.137273150302466"/>
    <n v="52.512998266897746"/>
    <n v="45.43454345434543"/>
    <n v="5147.3565714614251"/>
    <n v="52.473565714614253"/>
  </r>
  <r>
    <d v="2025-05-19T00:00:00"/>
    <s v="AD003"/>
    <s v="Placements"/>
    <x v="3"/>
    <s v="25–35 Age"/>
    <n v="294707"/>
    <n v="9304"/>
    <n v="1777"/>
    <n v="925"/>
    <n v="464"/>
    <n v="171711.35"/>
    <n v="1435655.76"/>
    <s v="Pan India"/>
    <n v="1"/>
    <s v="OK"/>
    <n v="3.157033935400245"/>
    <n v="19.099312123817715"/>
    <n v="52.054023635340464"/>
    <n v="50.162162162162161"/>
    <n v="736.08670015115467"/>
    <n v="8.3608670015115489"/>
  </r>
  <r>
    <d v="2025-05-20T00:00:00"/>
    <s v="AD002"/>
    <s v="MBA Admission"/>
    <x v="4"/>
    <s v="21–35 Age"/>
    <n v="163842"/>
    <n v="7426"/>
    <n v="1233"/>
    <n v="778"/>
    <n v="374"/>
    <n v="74194.66"/>
    <n v="2531863.85"/>
    <s v="North India"/>
    <n v="1"/>
    <s v="OK"/>
    <n v="4.5324153757888697"/>
    <n v="16.603824400754107"/>
    <n v="63.098134630981349"/>
    <n v="48.0719794344473"/>
    <n v="3312.4610180840505"/>
    <n v="34.124610180840506"/>
  </r>
  <r>
    <d v="2025-05-20T00:00:00"/>
    <s v="AD003"/>
    <s v="Placements"/>
    <x v="3"/>
    <s v="25–35 Age"/>
    <n v="170906"/>
    <n v="10548"/>
    <n v="1817"/>
    <n v="1173"/>
    <n v="608"/>
    <n v="123281.41"/>
    <n v="2911291.7"/>
    <s v="Pan India"/>
    <n v="1"/>
    <s v="OK"/>
    <n v="6.1718137455677393"/>
    <n v="17.226014410314754"/>
    <n v="64.556962025316452"/>
    <n v="51.832907075873827"/>
    <n v="2261.500975694551"/>
    <n v="23.615009756945511"/>
  </r>
  <r>
    <d v="2025-05-21T00:00:00"/>
    <s v="AD002"/>
    <s v="MBA Admission"/>
    <x v="4"/>
    <s v="21–35 Age"/>
    <n v="61054"/>
    <n v="3895"/>
    <n v="951"/>
    <n v="543"/>
    <n v="240"/>
    <n v="25073.99"/>
    <n v="1266941.77"/>
    <s v="Pan India"/>
    <n v="1"/>
    <s v="OK"/>
    <n v="6.3795983883119858"/>
    <n v="24.415917843388961"/>
    <n v="57.097791798107252"/>
    <n v="44.19889502762431"/>
    <n v="4952.8127753101917"/>
    <n v="50.52812775310192"/>
  </r>
  <r>
    <d v="2025-05-21T00:00:00"/>
    <s v="AD003"/>
    <s v="Placements"/>
    <x v="3"/>
    <s v="22–27 Age"/>
    <n v="121352"/>
    <n v="4064"/>
    <n v="696"/>
    <n v="357"/>
    <n v="180"/>
    <n v="54958.71"/>
    <n v="941034.3"/>
    <s v="South India"/>
    <n v="1"/>
    <s v="OK"/>
    <n v="3.3489353286307604"/>
    <n v="17.125984251968504"/>
    <n v="51.293103448275865"/>
    <n v="50.420168067226889"/>
    <n v="1612.256892492564"/>
    <n v="17.122568924925641"/>
  </r>
  <r>
    <d v="2025-05-22T00:00:00"/>
    <s v="AD002"/>
    <s v="MBA Admission"/>
    <x v="4"/>
    <s v="21–35 Age"/>
    <n v="109881"/>
    <n v="4764"/>
    <n v="991"/>
    <n v="450"/>
    <n v="232"/>
    <n v="99134.91"/>
    <n v="1580447.82"/>
    <s v="North India"/>
    <n v="1"/>
    <s v="OK"/>
    <n v="4.3355994211920175"/>
    <n v="20.801847187237616"/>
    <n v="45.408678102926338"/>
    <n v="51.555555555555557"/>
    <n v="1494.2394258490779"/>
    <n v="15.942394258490777"/>
  </r>
  <r>
    <d v="2025-05-22T00:00:00"/>
    <s v="AD003"/>
    <s v="Placements"/>
    <x v="3"/>
    <s v="17–21 Age"/>
    <n v="228338"/>
    <n v="16682"/>
    <n v="2885"/>
    <n v="1390"/>
    <n v="593"/>
    <n v="202855.34"/>
    <n v="4698879.46"/>
    <s v="Pan India"/>
    <n v="1"/>
    <s v="OK"/>
    <n v="7.3058360851019106"/>
    <n v="17.2940894377173"/>
    <n v="48.180242634315427"/>
    <n v="42.661870503597122"/>
    <n v="2216.3696159046149"/>
    <n v="23.163696159046147"/>
  </r>
  <r>
    <d v="2025-05-23T00:00:00"/>
    <s v="AD002"/>
    <s v="MBA Admission"/>
    <x v="4"/>
    <s v="21–35 Age"/>
    <n v="138950"/>
    <n v="8247"/>
    <n v="1433"/>
    <n v="743"/>
    <n v="371"/>
    <n v="87585.26"/>
    <n v="2275198.2599999998"/>
    <s v="East India"/>
    <n v="1"/>
    <s v="OK"/>
    <n v="5.935228499460238"/>
    <n v="17.376015520795441"/>
    <n v="51.84926727145848"/>
    <n v="49.93270524899058"/>
    <n v="2497.6953884706172"/>
    <n v="25.97695388470617"/>
  </r>
  <r>
    <d v="2025-05-23T00:00:00"/>
    <s v="AD003"/>
    <s v="Placements"/>
    <x v="3"/>
    <s v="25–35 Age"/>
    <n v="81571"/>
    <n v="6335"/>
    <n v="1288"/>
    <n v="609"/>
    <n v="288"/>
    <n v="69379.64"/>
    <n v="1003969.21"/>
    <s v="North India"/>
    <n v="1"/>
    <s v="OK"/>
    <n v="7.7662404531022053"/>
    <n v="20.331491712707184"/>
    <n v="47.282608695652172"/>
    <n v="47.290640394088669"/>
    <n v="1347.0660412766626"/>
    <n v="14.470660412766627"/>
  </r>
  <r>
    <d v="2025-05-24T00:00:00"/>
    <s v="AD002"/>
    <s v="MBA Admission"/>
    <x v="4"/>
    <s v="21–35 Age"/>
    <n v="261935"/>
    <n v="11611"/>
    <n v="1967"/>
    <n v="1027"/>
    <n v="604"/>
    <n v="209519.18"/>
    <n v="3096991.33"/>
    <s v="North India"/>
    <n v="1"/>
    <s v="OK"/>
    <n v="4.4327791245919794"/>
    <n v="16.94083196968392"/>
    <n v="52.211489578037614"/>
    <n v="58.812074001947423"/>
    <n v="1378.1421586319686"/>
    <n v="14.781421586319688"/>
  </r>
  <r>
    <d v="2025-05-24T00:00:00"/>
    <s v="AD003"/>
    <s v="Placements"/>
    <x v="3"/>
    <s v="22–27 Age"/>
    <n v="107849"/>
    <n v="6825"/>
    <n v="1489"/>
    <n v="749"/>
    <n v="394"/>
    <n v="81201.03"/>
    <n v="1255931.71"/>
    <s v="Pan India"/>
    <n v="1"/>
    <s v="OK"/>
    <n v="6.3282923346530797"/>
    <n v="21.816849816849818"/>
    <n v="50.30221625251847"/>
    <n v="52.603471295060075"/>
    <n v="1446.6943091731719"/>
    <n v="15.466943091731718"/>
  </r>
  <r>
    <d v="2025-05-25T00:00:00"/>
    <s v="AD002"/>
    <s v="MBA Admission"/>
    <x v="4"/>
    <s v="21–35 Age"/>
    <n v="199889"/>
    <n v="7676"/>
    <n v="1181"/>
    <n v="628"/>
    <n v="295"/>
    <n v="160449.25"/>
    <n v="1422894.37"/>
    <s v="East India"/>
    <n v="1"/>
    <s v="OK"/>
    <n v="3.8401312728564356"/>
    <n v="15.385617509119335"/>
    <n v="53.175275190516516"/>
    <n v="46.974522292993633"/>
    <n v="786.8189598891862"/>
    <n v="8.8681895988918615"/>
  </r>
  <r>
    <d v="2025-05-25T00:00:00"/>
    <s v="AD003"/>
    <s v="Placements"/>
    <x v="3"/>
    <s v="17–21 Age"/>
    <n v="221701"/>
    <n v="9472"/>
    <n v="2148"/>
    <n v="1063"/>
    <n v="587"/>
    <n v="167627.5"/>
    <n v="3363822.07"/>
    <s v="North India"/>
    <n v="1"/>
    <s v="OK"/>
    <n v="4.2724209633695835"/>
    <n v="22.677364864864867"/>
    <n v="49.487895716945992"/>
    <n v="55.221072436500471"/>
    <n v="1906.724475399323"/>
    <n v="20.067244753993229"/>
  </r>
  <r>
    <d v="2025-05-26T00:00:00"/>
    <s v="AD002"/>
    <s v="MBA Admission"/>
    <x v="4"/>
    <s v="21–35 Age"/>
    <n v="95432"/>
    <n v="7312"/>
    <n v="1525"/>
    <n v="799"/>
    <n v="461"/>
    <n v="75781.679999999993"/>
    <n v="2142553.8199999998"/>
    <s v="Pan India"/>
    <n v="1"/>
    <s v="OK"/>
    <n v="7.6620001676586478"/>
    <n v="20.85612691466083"/>
    <n v="52.393442622950815"/>
    <n v="57.697121401752192"/>
    <n v="2727.2714724719749"/>
    <n v="28.272714724719748"/>
  </r>
  <r>
    <d v="2025-05-26T00:00:00"/>
    <s v="AD003"/>
    <s v="Placements"/>
    <x v="3"/>
    <s v="25–35 Age"/>
    <n v="258060"/>
    <n v="19102"/>
    <n v="4745"/>
    <n v="2505"/>
    <n v="1316"/>
    <n v="149089.16"/>
    <n v="8726521.3499999996"/>
    <s v="Pan India"/>
    <n v="1"/>
    <s v="OK"/>
    <n v="7.4021545377044102"/>
    <n v="24.84033085540781"/>
    <n v="52.79241306638567"/>
    <n v="52.534930139720558"/>
    <n v="5753.2232323262133"/>
    <n v="58.532232323262129"/>
  </r>
  <r>
    <d v="2025-05-27T00:00:00"/>
    <s v="AD002"/>
    <s v="MBA Admission"/>
    <x v="4"/>
    <s v="21–35 Age"/>
    <n v="161958"/>
    <n v="8826"/>
    <n v="1937"/>
    <n v="906"/>
    <n v="520"/>
    <n v="70025.64"/>
    <n v="3944515.61"/>
    <s v="North India"/>
    <n v="1"/>
    <s v="OK"/>
    <n v="5.4495609972955954"/>
    <n v="21.946521640607298"/>
    <n v="46.773360867320605"/>
    <n v="57.395143487858725"/>
    <n v="5532.9590275790406"/>
    <n v="56.329590275790409"/>
  </r>
  <r>
    <d v="2025-05-27T00:00:00"/>
    <s v="AD003"/>
    <s v="Placements"/>
    <x v="3"/>
    <s v="22–27 Age"/>
    <n v="298878"/>
    <n v="16202"/>
    <n v="3092"/>
    <n v="1903"/>
    <n v="1055"/>
    <n v="156885.57999999999"/>
    <n v="7149953.9800000004"/>
    <s v="West India"/>
    <n v="1"/>
    <s v="OK"/>
    <n v="5.4209409859541351"/>
    <n v="19.084063695840019"/>
    <n v="61.545924967658472"/>
    <n v="55.438780872306879"/>
    <n v="4457.4322254473618"/>
    <n v="45.574322254473614"/>
  </r>
  <r>
    <d v="2025-05-28T00:00:00"/>
    <s v="AD002"/>
    <s v="MBA Admission"/>
    <x v="4"/>
    <s v="21–35 Age"/>
    <n v="107903"/>
    <n v="3524"/>
    <n v="729"/>
    <n v="457"/>
    <n v="206"/>
    <n v="103430.57"/>
    <n v="1353200.37"/>
    <s v="West India"/>
    <n v="1"/>
    <s v="OK"/>
    <n v="3.2658962216064431"/>
    <n v="20.686719636776392"/>
    <n v="62.688614540466389"/>
    <n v="45.076586433260395"/>
    <n v="1208.3176182824864"/>
    <n v="13.083176182824864"/>
  </r>
  <r>
    <d v="2025-05-28T00:00:00"/>
    <s v="AD003"/>
    <s v="Placements"/>
    <x v="3"/>
    <s v="22–27 Age"/>
    <n v="173020"/>
    <n v="10599"/>
    <n v="1880"/>
    <n v="1217"/>
    <n v="720"/>
    <n v="77910.38"/>
    <n v="3240631.4"/>
    <s v="North India"/>
    <n v="1"/>
    <s v="OK"/>
    <n v="6.1258814009941052"/>
    <n v="17.737522407774318"/>
    <n v="64.734042553191486"/>
    <n v="59.161873459326209"/>
    <n v="4059.4347248723466"/>
    <n v="41.594347248723466"/>
  </r>
  <r>
    <d v="2025-05-29T00:00:00"/>
    <s v="AD002"/>
    <s v="MBA Admission"/>
    <x v="4"/>
    <s v="21–35 Age"/>
    <n v="208326"/>
    <n v="16547"/>
    <n v="2535"/>
    <n v="1311"/>
    <n v="579"/>
    <n v="128714.62"/>
    <n v="2105892.5099999998"/>
    <s v="West India"/>
    <n v="1"/>
    <s v="OK"/>
    <n v="7.9428395879534959"/>
    <n v="15.31999758264338"/>
    <n v="51.715976331360949"/>
    <n v="44.164759725400458"/>
    <n v="1536.0942603101339"/>
    <n v="16.360942603101339"/>
  </r>
  <r>
    <d v="2025-05-29T00:00:00"/>
    <s v="AD003"/>
    <s v="Placements"/>
    <x v="3"/>
    <s v="17–21 Age"/>
    <n v="254367"/>
    <n v="11373"/>
    <n v="2455"/>
    <n v="1286"/>
    <n v="523"/>
    <n v="144783.34"/>
    <n v="3534997.28"/>
    <s v="Pan India"/>
    <n v="1"/>
    <s v="OK"/>
    <n v="4.4710988453690925"/>
    <n v="21.58621296052053"/>
    <n v="52.382892057026474"/>
    <n v="40.668740279937794"/>
    <n v="2341.5773803809193"/>
    <n v="24.415773803809195"/>
  </r>
  <r>
    <d v="2025-05-30T00:00:00"/>
    <s v="AD002"/>
    <s v="MBA Admission"/>
    <x v="4"/>
    <s v="21–35 Age"/>
    <n v="221642"/>
    <n v="16515"/>
    <n v="3805"/>
    <n v="2059"/>
    <n v="1044"/>
    <n v="213043.67"/>
    <n v="5794495.5199999996"/>
    <s v="East India"/>
    <n v="1"/>
    <s v="OK"/>
    <n v="7.45120509650698"/>
    <n v="23.039660914320315"/>
    <n v="54.113009198423121"/>
    <n v="50.704225352112672"/>
    <n v="2619.862796205116"/>
    <n v="27.198627962051155"/>
  </r>
  <r>
    <d v="2025-05-30T00:00:00"/>
    <s v="AD003"/>
    <s v="Placements"/>
    <x v="3"/>
    <s v="22–27 Age"/>
    <n v="171248"/>
    <n v="12218"/>
    <n v="1850"/>
    <n v="1118"/>
    <n v="623"/>
    <n v="161173.5"/>
    <n v="4380151.08"/>
    <s v="West India"/>
    <n v="1"/>
    <s v="OK"/>
    <n v="7.1346818648976917"/>
    <n v="15.141594368963823"/>
    <n v="60.432432432432435"/>
    <n v="55.724508050089447"/>
    <n v="2617.6620722389225"/>
    <n v="27.176620722389227"/>
  </r>
  <r>
    <d v="2025-05-31T00:00:00"/>
    <s v="AD002"/>
    <s v="MBA Admission"/>
    <x v="4"/>
    <s v="21–35 Age"/>
    <n v="172441"/>
    <n v="10888"/>
    <n v="1929"/>
    <n v="985"/>
    <n v="439"/>
    <n v="111414.3"/>
    <n v="2807015.16"/>
    <s v="Pan India"/>
    <n v="1"/>
    <s v="OK"/>
    <n v="6.3140436439129903"/>
    <n v="17.716752387950034"/>
    <n v="51.062726801451532"/>
    <n v="44.568527918781726"/>
    <n v="2419.4388512067126"/>
    <n v="25.194388512067125"/>
  </r>
  <r>
    <d v="2025-05-31T00:00:00"/>
    <s v="AD003"/>
    <s v="Placements"/>
    <x v="3"/>
    <s v="22–27 Age"/>
    <n v="79898"/>
    <n v="3387"/>
    <n v="708"/>
    <n v="348"/>
    <n v="144"/>
    <n v="46053.63"/>
    <n v="664446.17000000004"/>
    <s v="North India"/>
    <n v="1"/>
    <s v="OK"/>
    <n v="4.2391549225262208"/>
    <n v="20.903454384410981"/>
    <n v="49.152542372881356"/>
    <n v="41.379310344827587"/>
    <n v="1342.7661185448358"/>
    <n v="14.427661185448358"/>
  </r>
  <r>
    <d v="2025-06-01T00:00:00"/>
    <s v="AD002"/>
    <s v="MBA Admission"/>
    <x v="4"/>
    <s v="21–35 Age"/>
    <n v="179655"/>
    <n v="5969"/>
    <n v="1158"/>
    <n v="725"/>
    <n v="292"/>
    <n v="107637.78"/>
    <n v="1673092.65"/>
    <s v="East India"/>
    <n v="1"/>
    <s v="OK"/>
    <n v="3.3224791962372322"/>
    <n v="19.400234545149942"/>
    <n v="62.607944732297064"/>
    <n v="40.275862068965516"/>
    <n v="1454.373055631582"/>
    <n v="15.54373055631582"/>
  </r>
  <r>
    <d v="2025-06-02T00:00:00"/>
    <s v="AD002"/>
    <s v="MBA Admission"/>
    <x v="4"/>
    <s v="21–35 Age"/>
    <n v="112007"/>
    <n v="7687"/>
    <n v="1249"/>
    <n v="590"/>
    <n v="333"/>
    <n v="69690.34"/>
    <n v="1849660.24"/>
    <s v="Pan India"/>
    <n v="1"/>
    <s v="OK"/>
    <n v="6.8629639218977383"/>
    <n v="16.248211265773381"/>
    <n v="47.237790232185752"/>
    <n v="56.440677966101696"/>
    <n v="2554.112808173988"/>
    <n v="26.541128081739881"/>
  </r>
  <r>
    <d v="2025-06-03T00:00:00"/>
    <s v="AD002"/>
    <s v="MBA Admission"/>
    <x v="4"/>
    <s v="21–35 Age"/>
    <n v="77080"/>
    <n v="2952"/>
    <n v="558"/>
    <n v="255"/>
    <n v="145"/>
    <n v="53641.08"/>
    <n v="668676.1"/>
    <s v="East India"/>
    <n v="1"/>
    <s v="OK"/>
    <n v="3.8297872340425529"/>
    <n v="18.902439024390244"/>
    <n v="45.698924731182792"/>
    <n v="56.862745098039213"/>
    <n v="1146.574640182487"/>
    <n v="12.46574640182487"/>
  </r>
  <r>
    <d v="2025-06-04T00:00:00"/>
    <s v="AD002"/>
    <s v="MBA Admission"/>
    <x v="4"/>
    <s v="21–35 Age"/>
    <n v="247271"/>
    <n v="13740"/>
    <n v="2356"/>
    <n v="1075"/>
    <n v="541"/>
    <n v="224942.73"/>
    <n v="3479855.38"/>
    <s v="Pan India"/>
    <n v="1"/>
    <s v="OK"/>
    <n v="5.5566564619385206"/>
    <n v="17.147016011644833"/>
    <n v="45.62818336162988"/>
    <n v="50.325581395348841"/>
    <n v="1446.9961531986385"/>
    <n v="15.469961531986385"/>
  </r>
  <r>
    <d v="2025-06-05T00:00:00"/>
    <s v="AD002"/>
    <s v="MBA Admission"/>
    <x v="4"/>
    <s v="21–35 Age"/>
    <n v="228774"/>
    <n v="15253"/>
    <n v="3595"/>
    <n v="2264"/>
    <n v="989"/>
    <n v="192239.45"/>
    <n v="3767177.71"/>
    <s v="West India"/>
    <n v="1"/>
    <s v="OK"/>
    <n v="6.6672786243191968"/>
    <n v="23.569133940864091"/>
    <n v="62.976356050069541"/>
    <n v="43.683745583038871"/>
    <n v="1859.6278027220737"/>
    <n v="19.596278027220738"/>
  </r>
  <r>
    <d v="2025-06-06T00:00:00"/>
    <s v="AD002"/>
    <s v="MBA Admission"/>
    <x v="4"/>
    <s v="21–35 Age"/>
    <n v="140336"/>
    <n v="10973"/>
    <n v="2525"/>
    <n v="1411"/>
    <n v="738"/>
    <n v="101941.71"/>
    <n v="3405726.7"/>
    <s v="West India"/>
    <n v="1"/>
    <s v="OK"/>
    <n v="7.8190913236803103"/>
    <n v="23.011027066435798"/>
    <n v="55.881188118811885"/>
    <n v="52.303330970942596"/>
    <n v="3240.8569465825126"/>
    <n v="33.408569465825124"/>
  </r>
  <r>
    <d v="2025-06-07T00:00:00"/>
    <s v="AD002"/>
    <s v="MBA Admission"/>
    <x v="4"/>
    <s v="21–35 Age"/>
    <n v="255443"/>
    <n v="9636"/>
    <n v="2306"/>
    <n v="1082"/>
    <n v="528"/>
    <n v="108919.31"/>
    <n v="1641515.54"/>
    <s v="South India"/>
    <n v="1"/>
    <s v="OK"/>
    <n v="3.7722701346288607"/>
    <n v="23.931091739310915"/>
    <n v="46.921075455333913"/>
    <n v="48.798521256931608"/>
    <n v="1407.0932234146544"/>
    <n v="15.070932234146545"/>
  </r>
  <r>
    <d v="2025-06-08T00:00:00"/>
    <s v="AD002"/>
    <s v="MBA Admission"/>
    <x v="4"/>
    <s v="21–35 Age"/>
    <n v="153084"/>
    <n v="4907"/>
    <n v="999"/>
    <n v="538"/>
    <n v="307"/>
    <n v="97654.25"/>
    <n v="1586488.03"/>
    <s v="North India"/>
    <n v="1"/>
    <s v="OK"/>
    <n v="3.2054296987274959"/>
    <n v="20.358671285918074"/>
    <n v="53.853853853853849"/>
    <n v="57.063197026022308"/>
    <n v="1524.5970144668563"/>
    <n v="16.245970144668561"/>
  </r>
  <r>
    <d v="2025-06-09T00:00:00"/>
    <s v="AD002"/>
    <s v="MBA Admission"/>
    <x v="4"/>
    <s v="21–35 Age"/>
    <n v="114699"/>
    <n v="4802"/>
    <n v="801"/>
    <n v="375"/>
    <n v="175"/>
    <n v="79599.73"/>
    <n v="1126490.56"/>
    <s v="South India"/>
    <n v="1"/>
    <s v="OK"/>
    <n v="4.1866101709692325"/>
    <n v="16.680549770928778"/>
    <n v="46.81647940074906"/>
    <n v="46.666666666666664"/>
    <n v="1315.1939460096162"/>
    <n v="14.151939460096161"/>
  </r>
  <r>
    <d v="2025-06-10T00:00:00"/>
    <s v="AD002"/>
    <s v="MBA Admission"/>
    <x v="4"/>
    <s v="21–35 Age"/>
    <n v="228607"/>
    <n v="11316"/>
    <n v="2761"/>
    <n v="1577"/>
    <n v="831"/>
    <n v="199079.5"/>
    <n v="5513047.8600000003"/>
    <s v="West India"/>
    <n v="1"/>
    <s v="OK"/>
    <n v="4.9499796594155034"/>
    <n v="24.39908094733121"/>
    <n v="57.116986599058315"/>
    <n v="52.694990488268864"/>
    <n v="2669.2694928408"/>
    <n v="27.692694928407999"/>
  </r>
  <r>
    <d v="2025-06-11T00:00:00"/>
    <s v="AD002"/>
    <s v="MBA Admission"/>
    <x v="4"/>
    <s v="21–35 Age"/>
    <n v="115246"/>
    <n v="7658"/>
    <n v="1593"/>
    <n v="756"/>
    <n v="338"/>
    <n v="111946.04"/>
    <n v="2482396.52"/>
    <s v="South India"/>
    <n v="1"/>
    <s v="OK"/>
    <n v="6.6449160925324966"/>
    <n v="20.801775920605902"/>
    <n v="47.457627118644069"/>
    <n v="44.708994708994709"/>
    <n v="2117.4938211302519"/>
    <n v="22.174938211302518"/>
  </r>
  <r>
    <d v="2025-06-12T00:00:00"/>
    <s v="AD002"/>
    <s v="MBA Admission"/>
    <x v="4"/>
    <s v="21–35 Age"/>
    <n v="265508"/>
    <n v="9396"/>
    <n v="1593"/>
    <n v="898"/>
    <n v="489"/>
    <n v="184408.86"/>
    <n v="2219084.9500000002"/>
    <s v="West India"/>
    <n v="1"/>
    <s v="OK"/>
    <n v="3.5388764180363679"/>
    <n v="16.954022988505745"/>
    <n v="56.371625863151287"/>
    <n v="54.454342984409799"/>
    <n v="1103.3505060440157"/>
    <n v="12.033505060440156"/>
  </r>
  <r>
    <d v="2025-06-13T00:00:00"/>
    <s v="AD002"/>
    <s v="MBA Admission"/>
    <x v="4"/>
    <s v="21–35 Age"/>
    <n v="52092"/>
    <n v="2486"/>
    <n v="570"/>
    <n v="350"/>
    <n v="191"/>
    <n v="35363.69"/>
    <n v="1423038.59"/>
    <s v="South India"/>
    <n v="1"/>
    <s v="OK"/>
    <n v="4.7723258849727408"/>
    <n v="22.928399034593724"/>
    <n v="61.403508771929829"/>
    <n v="54.571428571428569"/>
    <n v="3924.0104751512076"/>
    <n v="40.240104751512071"/>
  </r>
  <r>
    <d v="2025-06-14T00:00:00"/>
    <s v="AD002"/>
    <s v="MBA Admission"/>
    <x v="4"/>
    <s v="21–35 Age"/>
    <n v="287149"/>
    <n v="12655"/>
    <n v="2180"/>
    <n v="1116"/>
    <n v="601"/>
    <n v="241881.98"/>
    <n v="4227409.95"/>
    <s v="East India"/>
    <n v="1"/>
    <s v="OK"/>
    <n v="4.407119648684132"/>
    <n v="17.226392730146188"/>
    <n v="51.192660550458712"/>
    <n v="53.853046594982082"/>
    <n v="1647.7159522176889"/>
    <n v="17.477159522176891"/>
  </r>
  <r>
    <d v="2025-06-15T00:00:00"/>
    <s v="AD002"/>
    <s v="MBA Admission"/>
    <x v="4"/>
    <s v="21–35 Age"/>
    <n v="149833"/>
    <n v="7012"/>
    <n v="1494"/>
    <n v="738"/>
    <n v="297"/>
    <n v="131425.41"/>
    <n v="1614620.18"/>
    <s v="West India"/>
    <n v="1"/>
    <s v="OK"/>
    <n v="4.6798769296483416"/>
    <n v="21.306332002281803"/>
    <n v="49.397590361445779"/>
    <n v="40.243902439024396"/>
    <n v="1128.5449061943198"/>
    <n v="12.285449061943195"/>
  </r>
  <r>
    <d v="2025-06-16T00:00:00"/>
    <s v="AD002"/>
    <s v="MBA Admission"/>
    <x v="4"/>
    <s v="21–35 Age"/>
    <n v="255927"/>
    <n v="12698"/>
    <n v="2565"/>
    <n v="1291"/>
    <n v="774"/>
    <n v="163441.21"/>
    <n v="4081467"/>
    <s v="West India"/>
    <n v="1"/>
    <s v="OK"/>
    <n v="4.9615710730012852"/>
    <n v="20.200031501023783"/>
    <n v="50.331384015594537"/>
    <n v="59.95352439969016"/>
    <n v="2397.2080174883681"/>
    <n v="24.972080174883679"/>
  </r>
  <r>
    <d v="2025-06-17T00:00:00"/>
    <s v="AD002"/>
    <s v="MBA Admission"/>
    <x v="4"/>
    <s v="21–35 Age"/>
    <n v="234335"/>
    <n v="11764"/>
    <n v="1932"/>
    <n v="992"/>
    <n v="435"/>
    <n v="164277.07999999999"/>
    <n v="1544374.71"/>
    <s v="East India"/>
    <n v="1"/>
    <s v="OK"/>
    <n v="5.0201634412273028"/>
    <n v="16.42298537912275"/>
    <n v="51.345755693581786"/>
    <n v="43.850806451612904"/>
    <n v="840.10357987858072"/>
    <n v="9.4010357987858075"/>
  </r>
  <r>
    <d v="2025-06-18T00:00:00"/>
    <s v="AD002"/>
    <s v="MBA Admission"/>
    <x v="4"/>
    <s v="21–35 Age"/>
    <n v="146202"/>
    <n v="11655"/>
    <n v="2425"/>
    <n v="1140"/>
    <n v="460"/>
    <n v="79710.710000000006"/>
    <n v="2166582.31"/>
    <s v="North India"/>
    <n v="1"/>
    <s v="OK"/>
    <n v="7.9718471703533469"/>
    <n v="20.806520806520805"/>
    <n v="47.010309278350512"/>
    <n v="40.350877192982452"/>
    <n v="2618.0567203579039"/>
    <n v="27.180567203579042"/>
  </r>
  <r>
    <d v="2025-06-19T00:00:00"/>
    <s v="AD002"/>
    <s v="MBA Admission"/>
    <x v="4"/>
    <s v="21–35 Age"/>
    <n v="169807"/>
    <n v="5900"/>
    <n v="1002"/>
    <n v="543"/>
    <n v="271"/>
    <n v="167493.6"/>
    <n v="1293759.1100000001"/>
    <s v="West India"/>
    <n v="1"/>
    <s v="OK"/>
    <n v="3.4745328520025676"/>
    <n v="16.983050847457626"/>
    <n v="54.191616766467064"/>
    <n v="49.907918968692449"/>
    <n v="672.42301198374139"/>
    <n v="7.724230119837415"/>
  </r>
  <r>
    <d v="2025-06-20T00:00:00"/>
    <s v="AD002"/>
    <s v="MBA Admission"/>
    <x v="4"/>
    <s v="21–35 Age"/>
    <n v="51060"/>
    <n v="2259"/>
    <n v="559"/>
    <n v="276"/>
    <n v="121"/>
    <n v="41121.18"/>
    <n v="556625.17000000004"/>
    <s v="Pan India"/>
    <n v="1"/>
    <s v="OK"/>
    <n v="4.4242068155111633"/>
    <n v="24.745462594068172"/>
    <n v="49.373881932021469"/>
    <n v="43.840579710144929"/>
    <n v="1253.6215886800915"/>
    <n v="13.536215886800914"/>
  </r>
  <r>
    <d v="2025-06-21T00:00:00"/>
    <s v="AD002"/>
    <s v="MBA Admission"/>
    <x v="4"/>
    <s v="21–35 Age"/>
    <n v="299910"/>
    <n v="23654"/>
    <n v="5219"/>
    <n v="2461"/>
    <n v="1471"/>
    <n v="147276.92000000001"/>
    <n v="7040894.9100000001"/>
    <s v="East India"/>
    <n v="1"/>
    <s v="OK"/>
    <n v="7.8870327764996171"/>
    <n v="22.063921535469689"/>
    <n v="47.154627323241996"/>
    <n v="59.772450223486388"/>
    <n v="4680.7184655952879"/>
    <n v="47.807184655952881"/>
  </r>
  <r>
    <d v="2025-06-22T00:00:00"/>
    <s v="AD002"/>
    <s v="MBA Admission"/>
    <x v="4"/>
    <s v="21–35 Age"/>
    <n v="118757"/>
    <n v="6909"/>
    <n v="1251"/>
    <n v="711"/>
    <n v="363"/>
    <n v="97100.84"/>
    <n v="2733839.18"/>
    <s v="East India"/>
    <n v="1"/>
    <s v="OK"/>
    <n v="5.8177623213789502"/>
    <n v="18.106817194963092"/>
    <n v="56.834532374100718"/>
    <n v="51.054852320675103"/>
    <n v="2715.4639856874569"/>
    <n v="28.154639856874567"/>
  </r>
  <r>
    <d v="2025-06-23T00:00:00"/>
    <s v="AD002"/>
    <s v="MBA Admission"/>
    <x v="4"/>
    <s v="21–35 Age"/>
    <n v="215965"/>
    <n v="16744"/>
    <n v="3264"/>
    <n v="1645"/>
    <n v="772"/>
    <n v="138966.79999999999"/>
    <n v="3706914.65"/>
    <s v="Pan India"/>
    <n v="1"/>
    <s v="OK"/>
    <n v="7.7531081425230939"/>
    <n v="19.493549928332538"/>
    <n v="50.398284313725497"/>
    <n v="46.930091185410333"/>
    <n v="2567.4821971866663"/>
    <n v="26.674821971866663"/>
  </r>
  <r>
    <d v="2025-06-24T00:00:00"/>
    <s v="AD002"/>
    <s v="MBA Admission"/>
    <x v="4"/>
    <s v="21–35 Age"/>
    <n v="251296"/>
    <n v="15390"/>
    <n v="3332"/>
    <n v="1741"/>
    <n v="721"/>
    <n v="235593.68"/>
    <n v="5070650.21"/>
    <s v="Pan India"/>
    <n v="1"/>
    <s v="OK"/>
    <n v="6.1242518782630846"/>
    <n v="21.650422352176736"/>
    <n v="52.250900360144058"/>
    <n v="41.41298104537622"/>
    <n v="2052.2861776258173"/>
    <n v="21.522861776258175"/>
  </r>
  <r>
    <d v="2025-06-25T00:00:00"/>
    <s v="AD002"/>
    <s v="MBA Admission"/>
    <x v="4"/>
    <s v="21–35 Age"/>
    <n v="58479"/>
    <n v="3449"/>
    <n v="525"/>
    <n v="332"/>
    <n v="138"/>
    <n v="36555.379999999997"/>
    <n v="944561.57"/>
    <s v="Pan India"/>
    <n v="1"/>
    <s v="OK"/>
    <n v="5.8978436703774006"/>
    <n v="15.22180342128153"/>
    <n v="63.238095238095241"/>
    <n v="41.566265060240966"/>
    <n v="2483.919439491533"/>
    <n v="25.839194394915332"/>
  </r>
  <r>
    <d v="2025-06-26T00:00:00"/>
    <s v="AD002"/>
    <s v="MBA Admission"/>
    <x v="4"/>
    <s v="21–35 Age"/>
    <n v="89905"/>
    <n v="4837"/>
    <n v="875"/>
    <n v="550"/>
    <n v="241"/>
    <n v="51333.26"/>
    <n v="1062504.3799999999"/>
    <s v="Pan India"/>
    <n v="1"/>
    <s v="OK"/>
    <n v="5.3801234636560817"/>
    <n v="18.089725036179448"/>
    <n v="62.857142857142854"/>
    <n v="43.81818181818182"/>
    <n v="1969.816684153704"/>
    <n v="20.698166841537045"/>
  </r>
  <r>
    <d v="2025-06-27T00:00:00"/>
    <s v="AD002"/>
    <s v="MBA Admission"/>
    <x v="4"/>
    <s v="21–35 Age"/>
    <n v="92090"/>
    <n v="5092"/>
    <n v="879"/>
    <n v="474"/>
    <n v="260"/>
    <n v="84474.07"/>
    <n v="1445950.1"/>
    <s v="Pan India"/>
    <n v="1"/>
    <s v="OK"/>
    <n v="5.5293734390270393"/>
    <n v="17.262372348782403"/>
    <n v="53.924914675767923"/>
    <n v="54.852320675105481"/>
    <n v="1611.7088119466719"/>
    <n v="17.117088119466718"/>
  </r>
  <r>
    <d v="2025-06-28T00:00:00"/>
    <s v="AD002"/>
    <s v="MBA Admission"/>
    <x v="4"/>
    <s v="21–35 Age"/>
    <n v="118966"/>
    <n v="6945"/>
    <n v="1680"/>
    <n v="1063"/>
    <n v="602"/>
    <n v="86687.2"/>
    <n v="1924916.2"/>
    <s v="North India"/>
    <n v="1"/>
    <s v="OK"/>
    <n v="5.8378023973236051"/>
    <n v="24.190064794816415"/>
    <n v="63.273809523809518"/>
    <n v="56.632173095014117"/>
    <n v="2120.5310587953009"/>
    <n v="22.205310587953008"/>
  </r>
  <r>
    <d v="2025-06-29T00:00:00"/>
    <s v="AD002"/>
    <s v="MBA Admission"/>
    <x v="4"/>
    <s v="21–35 Age"/>
    <n v="54787"/>
    <n v="2701"/>
    <n v="414"/>
    <n v="256"/>
    <n v="108"/>
    <n v="23226.400000000001"/>
    <n v="639599.69999999995"/>
    <s v="Pan India"/>
    <n v="1"/>
    <s v="OK"/>
    <n v="4.9300016427254647"/>
    <n v="15.327656423546834"/>
    <n v="61.835748792270529"/>
    <n v="42.1875"/>
    <n v="2653.7616677573792"/>
    <n v="27.537616677573791"/>
  </r>
  <r>
    <d v="2025-06-30T00:00:00"/>
    <s v="AD002"/>
    <s v="MBA Admission"/>
    <x v="4"/>
    <s v="21–35 Age"/>
    <n v="81314"/>
    <n v="3799"/>
    <n v="757"/>
    <n v="427"/>
    <n v="191"/>
    <n v="47760.639999999999"/>
    <n v="1085518.31"/>
    <s v="East India"/>
    <n v="1"/>
    <s v="OK"/>
    <n v="4.6720121996212214"/>
    <n v="19.92629639378784"/>
    <n v="56.406869220607661"/>
    <n v="44.730679156908664"/>
    <n v="2172.8303263942862"/>
    <n v="22.728303263942863"/>
  </r>
  <r>
    <d v="2025-07-01T00:00:00"/>
    <s v="AD002"/>
    <s v="MBA Admission"/>
    <x v="4"/>
    <s v="21–35 Age"/>
    <n v="92036"/>
    <n v="5655"/>
    <n v="1370"/>
    <n v="718"/>
    <n v="314"/>
    <n v="63223.93"/>
    <n v="1366952.36"/>
    <s v="Pan India"/>
    <n v="1"/>
    <s v="OK"/>
    <n v="6.1443348255030639"/>
    <n v="24.226348364279399"/>
    <n v="52.408759124087588"/>
    <n v="43.732590529247908"/>
    <n v="2062.0806552202625"/>
    <n v="21.620806552202623"/>
  </r>
  <r>
    <d v="2025-07-02T00:00:00"/>
    <s v="AD002"/>
    <s v="MBA Admission"/>
    <x v="4"/>
    <s v="21–35 Age"/>
    <n v="269403"/>
    <n v="18663"/>
    <n v="4144"/>
    <n v="2502"/>
    <n v="1360"/>
    <n v="150891.95000000001"/>
    <n v="8181786.3200000003"/>
    <s v="South India"/>
    <n v="1"/>
    <s v="OK"/>
    <n v="6.9275397824077682"/>
    <n v="22.204361571022879"/>
    <n v="60.376447876447884"/>
    <n v="54.356514788169463"/>
    <n v="5322.2815199883098"/>
    <n v="54.222815199883094"/>
  </r>
  <r>
    <d v="2025-07-03T00:00:00"/>
    <s v="AD002"/>
    <s v="MBA Admission"/>
    <x v="4"/>
    <s v="21–35 Age"/>
    <n v="56759"/>
    <n v="4315"/>
    <n v="975"/>
    <n v="572"/>
    <n v="279"/>
    <n v="47812.04"/>
    <n v="1401844.34"/>
    <s v="Pan India"/>
    <n v="1"/>
    <s v="OK"/>
    <n v="7.6023185750277484"/>
    <n v="22.595596755504054"/>
    <n v="58.666666666666664"/>
    <n v="48.776223776223773"/>
    <n v="2831.9902267295015"/>
    <n v="29.319902267295017"/>
  </r>
  <r>
    <d v="2025-07-04T00:00:00"/>
    <s v="AD002"/>
    <s v="MBA Admission"/>
    <x v="4"/>
    <s v="21–35 Age"/>
    <n v="294725"/>
    <n v="14169"/>
    <n v="3083"/>
    <n v="1956"/>
    <n v="783"/>
    <n v="267573.94"/>
    <n v="2450851.61"/>
    <s v="East India"/>
    <n v="1"/>
    <s v="OK"/>
    <n v="4.8075324455000423"/>
    <n v="21.75876914390571"/>
    <n v="63.444696723970161"/>
    <n v="40.030674846625772"/>
    <n v="815.95302965602696"/>
    <n v="9.1595302965602698"/>
  </r>
  <r>
    <d v="2025-07-05T00:00:00"/>
    <s v="AD002"/>
    <s v="MBA Admission"/>
    <x v="4"/>
    <s v="21–35 Age"/>
    <n v="284349"/>
    <n v="9408"/>
    <n v="1926"/>
    <n v="1228"/>
    <n v="734"/>
    <n v="145135.47"/>
    <n v="3166144.83"/>
    <s v="Pan India"/>
    <n v="1"/>
    <s v="OK"/>
    <n v="3.3086101938111261"/>
    <n v="20.471938775510203"/>
    <n v="63.759086188992733"/>
    <n v="59.77198697068404"/>
    <n v="2081.5100264601065"/>
    <n v="21.815100264601067"/>
  </r>
  <r>
    <d v="2025-07-06T00:00:00"/>
    <s v="AD002"/>
    <s v="MBA Admission"/>
    <x v="4"/>
    <s v="21–35 Age"/>
    <n v="215773"/>
    <n v="11011"/>
    <n v="2592"/>
    <n v="1638"/>
    <n v="787"/>
    <n v="114990.31"/>
    <n v="3955862.49"/>
    <s v="East India"/>
    <n v="1"/>
    <s v="OK"/>
    <n v="5.1030481107460153"/>
    <n v="23.540096267368995"/>
    <n v="63.194444444444443"/>
    <n v="48.046398046398046"/>
    <n v="3340.1702978277044"/>
    <n v="34.401702978277044"/>
  </r>
  <r>
    <d v="2025-07-07T00:00:00"/>
    <s v="AD002"/>
    <s v="MBA Admission"/>
    <x v="4"/>
    <s v="21–35 Age"/>
    <n v="265814"/>
    <n v="18135"/>
    <n v="3413"/>
    <n v="1802"/>
    <n v="979"/>
    <n v="178983.87"/>
    <n v="4945617.34"/>
    <s v="Pan India"/>
    <n v="1"/>
    <s v="OK"/>
    <n v="6.822439751104155"/>
    <n v="18.819961400606562"/>
    <n v="52.798124816876644"/>
    <n v="54.328523862375135"/>
    <n v="2663.1637085509437"/>
    <n v="27.631637085509436"/>
  </r>
  <r>
    <d v="2025-07-08T00:00:00"/>
    <s v="AD002"/>
    <s v="MBA Admission"/>
    <x v="4"/>
    <s v="21–35 Age"/>
    <n v="254425"/>
    <n v="11942"/>
    <n v="2510"/>
    <n v="1384"/>
    <n v="700"/>
    <n v="163582.32"/>
    <n v="5486851.2400000002"/>
    <s v="North India"/>
    <n v="1"/>
    <s v="OK"/>
    <n v="4.6937211358946644"/>
    <n v="21.01825489867694"/>
    <n v="55.139442231075698"/>
    <n v="50.578034682080933"/>
    <n v="3254.183532792541"/>
    <n v="33.541835327925412"/>
  </r>
  <r>
    <d v="2025-07-09T00:00:00"/>
    <s v="AD002"/>
    <s v="MBA Admission"/>
    <x v="4"/>
    <s v="21–35 Age"/>
    <n v="259369"/>
    <n v="9336"/>
    <n v="2252"/>
    <n v="1107"/>
    <n v="588"/>
    <n v="154589.95000000001"/>
    <n v="3499060.17"/>
    <s v="South India"/>
    <n v="1"/>
    <s v="OK"/>
    <n v="3.5995049524037181"/>
    <n v="24.121679520137103"/>
    <n v="49.156305506216697"/>
    <n v="53.116531165311656"/>
    <n v="2163.4460843023749"/>
    <n v="22.634460843023753"/>
  </r>
  <r>
    <d v="2025-07-10T00:00:00"/>
    <s v="AD002"/>
    <s v="MBA Admission"/>
    <x v="4"/>
    <s v="21–35 Age"/>
    <n v="221044"/>
    <n v="13069"/>
    <n v="2745"/>
    <n v="1298"/>
    <n v="558"/>
    <n v="160690.04999999999"/>
    <n v="3236187.64"/>
    <s v="North India"/>
    <n v="1"/>
    <s v="OK"/>
    <n v="5.9123975317131432"/>
    <n v="21.003902364373708"/>
    <n v="47.285974499089249"/>
    <n v="42.989214175654858"/>
    <n v="1913.9315657690072"/>
    <n v="20.139315657690069"/>
  </r>
  <r>
    <d v="2025-07-11T00:00:00"/>
    <s v="AD002"/>
    <s v="MBA Admission"/>
    <x v="4"/>
    <s v="21–35 Age"/>
    <n v="94706"/>
    <n v="5747"/>
    <n v="890"/>
    <n v="494"/>
    <n v="278"/>
    <n v="65416.27"/>
    <n v="2144560.42"/>
    <s v="Pan India"/>
    <n v="1"/>
    <s v="OK"/>
    <n v="6.068253331362321"/>
    <n v="15.486340699495388"/>
    <n v="55.50561797752809"/>
    <n v="56.275303643724698"/>
    <n v="3178.3288010765518"/>
    <n v="32.783288010765517"/>
  </r>
  <r>
    <d v="2025-07-12T00:00:00"/>
    <s v="AD002"/>
    <s v="MBA Admission"/>
    <x v="4"/>
    <s v="21–35 Age"/>
    <n v="176503"/>
    <n v="10957"/>
    <n v="1846"/>
    <n v="985"/>
    <n v="397"/>
    <n v="145083.42000000001"/>
    <n v="1468396.6"/>
    <s v="East India"/>
    <n v="1"/>
    <s v="OK"/>
    <n v="6.207826495866926"/>
    <n v="16.847677283928082"/>
    <n v="53.358613217768145"/>
    <n v="40.304568527918782"/>
    <n v="912.10503584765229"/>
    <n v="10.121050358476523"/>
  </r>
  <r>
    <d v="2025-07-13T00:00:00"/>
    <s v="AD002"/>
    <s v="MBA Admission"/>
    <x v="4"/>
    <s v="21–35 Age"/>
    <n v="237358"/>
    <n v="14516"/>
    <n v="2484"/>
    <n v="1272"/>
    <n v="548"/>
    <n v="133175.25"/>
    <n v="4227791.0199999996"/>
    <s v="South India"/>
    <n v="1"/>
    <s v="OK"/>
    <n v="6.1156565188449514"/>
    <n v="17.112152108018737"/>
    <n v="51.207729468599041"/>
    <n v="43.081761006289312"/>
    <n v="3074.6071586124294"/>
    <n v="31.746071586124295"/>
  </r>
  <r>
    <d v="2025-07-14T00:00:00"/>
    <s v="AD002"/>
    <s v="MBA Admission"/>
    <x v="4"/>
    <s v="21–35 Age"/>
    <n v="50848"/>
    <n v="3877"/>
    <n v="825"/>
    <n v="405"/>
    <n v="190"/>
    <n v="43221.5"/>
    <n v="1323600.99"/>
    <s v="West India"/>
    <n v="1"/>
    <s v="OK"/>
    <n v="7.6246853366897422"/>
    <n v="21.27933969564096"/>
    <n v="49.090909090909093"/>
    <n v="46.913580246913575"/>
    <n v="2962.3670858253417"/>
    <n v="30.623670858253416"/>
  </r>
  <r>
    <d v="2025-07-15T00:00:00"/>
    <s v="AD002"/>
    <s v="MBA Admission"/>
    <x v="4"/>
    <s v="21–35 Age"/>
    <n v="96272"/>
    <n v="7109"/>
    <n v="1160"/>
    <n v="673"/>
    <n v="373"/>
    <n v="61170.400000000001"/>
    <n v="1645196.91"/>
    <s v="Pan India"/>
    <n v="1"/>
    <s v="OK"/>
    <n v="7.3842861891307967"/>
    <n v="16.317344211562805"/>
    <n v="58.017241379310349"/>
    <n v="55.423476968796436"/>
    <n v="2589.5310640440475"/>
    <n v="26.895310640440471"/>
  </r>
  <r>
    <d v="2025-07-16T00:00:00"/>
    <s v="AD002"/>
    <s v="MBA Admission"/>
    <x v="4"/>
    <s v="21–35 Age"/>
    <n v="163136"/>
    <n v="7760"/>
    <n v="1293"/>
    <n v="616"/>
    <n v="309"/>
    <n v="81536.179999999993"/>
    <n v="1996807.57"/>
    <s v="South India"/>
    <n v="1"/>
    <s v="OK"/>
    <n v="4.7567673597489213"/>
    <n v="16.662371134020617"/>
    <n v="47.641144624903326"/>
    <n v="50.162337662337663"/>
    <n v="2348.9834696695384"/>
    <n v="24.489834696695382"/>
  </r>
  <r>
    <d v="2025-07-17T00:00:00"/>
    <s v="AD002"/>
    <s v="MBA Admission"/>
    <x v="4"/>
    <s v="21–35 Age"/>
    <n v="224881"/>
    <n v="13220"/>
    <n v="2919"/>
    <n v="1678"/>
    <n v="726"/>
    <n v="209811.4"/>
    <n v="4054985.75"/>
    <s v="South India"/>
    <n v="1"/>
    <s v="OK"/>
    <n v="5.8786647160053533"/>
    <n v="22.080181543116488"/>
    <n v="57.485440219253171"/>
    <n v="43.265792610250301"/>
    <n v="1832.6813271347507"/>
    <n v="19.326813271347508"/>
  </r>
  <r>
    <d v="2025-07-18T00:00:00"/>
    <s v="AD002"/>
    <s v="MBA Admission"/>
    <x v="4"/>
    <s v="21–35 Age"/>
    <n v="107896"/>
    <n v="6609"/>
    <n v="1436"/>
    <n v="892"/>
    <n v="459"/>
    <n v="104215.29"/>
    <n v="2367563.2200000002"/>
    <s v="East India"/>
    <n v="1"/>
    <s v="OK"/>
    <n v="6.1253429228145615"/>
    <n v="21.7279467392949"/>
    <n v="62.116991643454035"/>
    <n v="51.457399103139011"/>
    <n v="2171.8002511915483"/>
    <n v="22.718002511915483"/>
  </r>
  <r>
    <d v="2025-07-19T00:00:00"/>
    <s v="AD002"/>
    <s v="MBA Admission"/>
    <x v="4"/>
    <s v="21–35 Age"/>
    <n v="100529"/>
    <n v="3042"/>
    <n v="580"/>
    <n v="326"/>
    <n v="173"/>
    <n v="52428"/>
    <n v="1269806.24"/>
    <s v="East India"/>
    <n v="1"/>
    <s v="OK"/>
    <n v="3.0259924996767102"/>
    <n v="19.066403681788298"/>
    <n v="56.206896551724142"/>
    <n v="53.067484662576689"/>
    <n v="2322.0001525902189"/>
    <n v="24.220001525902191"/>
  </r>
  <r>
    <d v="2025-07-20T00:00:00"/>
    <s v="AD002"/>
    <s v="MBA Admission"/>
    <x v="4"/>
    <s v="21–35 Age"/>
    <n v="59847"/>
    <n v="4601"/>
    <n v="734"/>
    <n v="338"/>
    <n v="157"/>
    <n v="24579.52"/>
    <n v="524652.68999999994"/>
    <s v="North India"/>
    <n v="1"/>
    <s v="OK"/>
    <n v="7.6879375741474094"/>
    <n v="15.953053683981743"/>
    <n v="46.049046321525886"/>
    <n v="46.449704142011832"/>
    <n v="2034.5115364335832"/>
    <n v="21.345115364335836"/>
  </r>
  <r>
    <d v="2025-07-21T00:00:00"/>
    <s v="AD002"/>
    <s v="MBA Admission"/>
    <x v="4"/>
    <s v="21–35 Age"/>
    <n v="183044"/>
    <n v="9780"/>
    <n v="2113"/>
    <n v="1094"/>
    <n v="518"/>
    <n v="149648.03"/>
    <n v="2135225.13"/>
    <s v="East India"/>
    <n v="1"/>
    <s v="OK"/>
    <n v="5.3429776447193023"/>
    <n v="21.605316973415135"/>
    <n v="51.774727875059156"/>
    <n v="47.349177330895799"/>
    <n v="1326.8314323950672"/>
    <n v="14.268314323950673"/>
  </r>
  <r>
    <d v="2025-07-22T00:00:00"/>
    <s v="AD002"/>
    <s v="MBA Admission"/>
    <x v="4"/>
    <s v="21–35 Age"/>
    <n v="295519"/>
    <n v="20154"/>
    <n v="3461"/>
    <n v="1995"/>
    <n v="1138"/>
    <n v="221471.19"/>
    <n v="8555769.9199999999"/>
    <s v="North India"/>
    <n v="1"/>
    <s v="OK"/>
    <n v="6.8198660661412625"/>
    <n v="17.172769673513944"/>
    <n v="57.642299913319853"/>
    <n v="57.042606516290725"/>
    <n v="3763.1525481937401"/>
    <n v="38.631525481937402"/>
  </r>
  <r>
    <d v="2025-07-23T00:00:00"/>
    <s v="AD002"/>
    <s v="MBA Admission"/>
    <x v="4"/>
    <s v="21–35 Age"/>
    <n v="102281"/>
    <n v="7277"/>
    <n v="1524"/>
    <n v="814"/>
    <n v="398"/>
    <n v="41674.82"/>
    <n v="2247547.73"/>
    <s v="North India"/>
    <n v="1"/>
    <s v="OK"/>
    <n v="7.1147133876282007"/>
    <n v="20.942696166002474"/>
    <n v="53.412073490813647"/>
    <n v="48.894348894348894"/>
    <n v="5293.0592381682754"/>
    <n v="53.93059238168275"/>
  </r>
  <r>
    <d v="2025-07-24T00:00:00"/>
    <s v="AD002"/>
    <s v="MBA Admission"/>
    <x v="4"/>
    <s v="21–35 Age"/>
    <n v="69228"/>
    <n v="2248"/>
    <n v="378"/>
    <n v="231"/>
    <n v="127"/>
    <n v="47888.71"/>
    <n v="980730.14"/>
    <s v="North India"/>
    <n v="1"/>
    <s v="OK"/>
    <n v="3.2472410007511407"/>
    <n v="16.814946619217082"/>
    <n v="61.111111111111114"/>
    <n v="54.978354978354979"/>
    <n v="1947.9360166519416"/>
    <n v="20.479360166519417"/>
  </r>
  <r>
    <d v="2025-07-25T00:00:00"/>
    <s v="AD002"/>
    <s v="MBA Admission"/>
    <x v="4"/>
    <s v="21–35 Age"/>
    <n v="195078"/>
    <n v="11378"/>
    <n v="2824"/>
    <n v="1362"/>
    <n v="720"/>
    <n v="101190.07"/>
    <n v="4473021.84"/>
    <s v="North India"/>
    <n v="1"/>
    <s v="OK"/>
    <n v="5.8325387793600507"/>
    <n v="24.819827737739498"/>
    <n v="48.229461756373937"/>
    <n v="52.863436123348016"/>
    <n v="4320.4157977161185"/>
    <n v="44.204157977161195"/>
  </r>
  <r>
    <d v="2025-07-26T00:00:00"/>
    <s v="AD002"/>
    <s v="MBA Admission"/>
    <x v="4"/>
    <s v="21–35 Age"/>
    <n v="98148"/>
    <n v="6924"/>
    <n v="1556"/>
    <n v="839"/>
    <n v="415"/>
    <n v="82010.11"/>
    <n v="2689713.42"/>
    <s v="East India"/>
    <n v="1"/>
    <s v="OK"/>
    <n v="7.0546521579655215"/>
    <n v="22.472559214326978"/>
    <n v="53.920308483290491"/>
    <n v="49.463647199046484"/>
    <n v="3179.7339498752044"/>
    <n v="32.797339498752045"/>
  </r>
  <r>
    <d v="2025-07-27T00:00:00"/>
    <s v="AD002"/>
    <s v="MBA Admission"/>
    <x v="4"/>
    <s v="21–35 Age"/>
    <n v="288669"/>
    <n v="16685"/>
    <n v="2685"/>
    <n v="1692"/>
    <n v="697"/>
    <n v="197363.38"/>
    <n v="2266273.4"/>
    <s v="West India"/>
    <n v="1"/>
    <s v="OK"/>
    <n v="5.7799763743249191"/>
    <n v="16.092298471681151"/>
    <n v="63.016759776536311"/>
    <n v="41.193853427895981"/>
    <n v="1048.2745177955505"/>
    <n v="11.482745177955504"/>
  </r>
  <r>
    <d v="2025-07-28T00:00:00"/>
    <s v="AD002"/>
    <s v="MBA Admission"/>
    <x v="4"/>
    <s v="21–35 Age"/>
    <n v="228940"/>
    <n v="7307"/>
    <n v="1297"/>
    <n v="812"/>
    <n v="445"/>
    <n v="100965.24"/>
    <n v="1835902.46"/>
    <s v="South India"/>
    <n v="1"/>
    <s v="OK"/>
    <n v="3.1916659386738884"/>
    <n v="17.75010264130286"/>
    <n v="62.606013878180413"/>
    <n v="54.802955665024633"/>
    <n v="1718.3510087233981"/>
    <n v="18.18351008723398"/>
  </r>
  <r>
    <d v="2025-07-29T00:00:00"/>
    <s v="AD002"/>
    <s v="MBA Admission"/>
    <x v="4"/>
    <s v="21–35 Age"/>
    <n v="103373"/>
    <n v="6280"/>
    <n v="1324"/>
    <n v="665"/>
    <n v="319"/>
    <n v="91234.94"/>
    <n v="1337659.8600000001"/>
    <s v="Pan India"/>
    <n v="1"/>
    <s v="OK"/>
    <n v="6.0750873051957477"/>
    <n v="21.082802547770701"/>
    <n v="50.226586102719025"/>
    <n v="47.969924812030072"/>
    <n v="1366.1705920999127"/>
    <n v="14.661705920999127"/>
  </r>
  <r>
    <d v="2025-07-30T00:00:00"/>
    <s v="AD002"/>
    <s v="MBA Admission"/>
    <x v="4"/>
    <s v="21–35 Age"/>
    <n v="183663"/>
    <n v="7335"/>
    <n v="1401"/>
    <n v="843"/>
    <n v="357"/>
    <n v="159534.43"/>
    <n v="2405412.1800000002"/>
    <s v="Pan India"/>
    <n v="1"/>
    <s v="OK"/>
    <n v="3.993727642475621"/>
    <n v="19.100204498977504"/>
    <n v="60.171306209850108"/>
    <n v="42.34875444839858"/>
    <n v="1407.7699403194658"/>
    <n v="15.077699403194661"/>
  </r>
  <r>
    <d v="2025-07-31T00:00:00"/>
    <s v="AD002"/>
    <s v="MBA Admission"/>
    <x v="4"/>
    <s v="21–35 Age"/>
    <n v="125289"/>
    <n v="5916"/>
    <n v="1354"/>
    <n v="610"/>
    <n v="295"/>
    <n v="81381.38"/>
    <n v="2009705.99"/>
    <s v="North India"/>
    <n v="1"/>
    <s v="OK"/>
    <n v="4.7218830064889969"/>
    <n v="22.88708586883029"/>
    <n v="45.05169867060561"/>
    <n v="48.360655737704917"/>
    <n v="2369.4911661611045"/>
    <n v="24.694911661611044"/>
  </r>
  <r>
    <d v="2025-08-01T00:00:00"/>
    <s v="AD002"/>
    <s v="MBA Admission"/>
    <x v="4"/>
    <s v="21–35 Age"/>
    <n v="82289"/>
    <n v="2865"/>
    <n v="627"/>
    <n v="344"/>
    <n v="153"/>
    <n v="72603.02"/>
    <n v="791070.5"/>
    <s v="Pan India"/>
    <n v="1"/>
    <s v="OK"/>
    <n v="3.4816318098409265"/>
    <n v="21.8848167539267"/>
    <n v="54.864433811802236"/>
    <n v="44.47674418604651"/>
    <n v="989.5834636079876"/>
    <n v="10.895834636079876"/>
  </r>
  <r>
    <d v="2025-08-02T00:00:00"/>
    <s v="AD002"/>
    <s v="MBA Admission"/>
    <x v="4"/>
    <s v="21–35 Age"/>
    <n v="122204"/>
    <n v="4702"/>
    <n v="1151"/>
    <n v="571"/>
    <n v="334"/>
    <n v="64654.83"/>
    <n v="1107200.51"/>
    <s v="South India"/>
    <n v="1"/>
    <s v="OK"/>
    <n v="3.8476645608981701"/>
    <n v="24.478945129732029"/>
    <n v="49.609035621198956"/>
    <n v="58.493870402802109"/>
    <n v="1612.4791914231314"/>
    <n v="17.124791914231309"/>
  </r>
  <r>
    <d v="2025-08-03T00:00:00"/>
    <s v="AD002"/>
    <s v="MBA Admission"/>
    <x v="4"/>
    <s v="21–35 Age"/>
    <n v="282568"/>
    <n v="20991"/>
    <n v="3160"/>
    <n v="1720"/>
    <n v="1027"/>
    <n v="254928.95"/>
    <n v="4693041.45"/>
    <s v="North India"/>
    <n v="1"/>
    <s v="OK"/>
    <n v="7.428654341609807"/>
    <n v="15.054070792244294"/>
    <n v="54.430379746835442"/>
    <n v="59.70930232558139"/>
    <n v="1740.9213429859574"/>
    <n v="18.409213429859573"/>
  </r>
  <r>
    <d v="2025-08-04T00:00:00"/>
    <s v="AD002"/>
    <s v="MBA Admission"/>
    <x v="4"/>
    <s v="21–35 Age"/>
    <n v="276741"/>
    <n v="8329"/>
    <n v="2013"/>
    <n v="1048"/>
    <n v="550"/>
    <n v="241422.3"/>
    <n v="3218248.07"/>
    <s v="West India"/>
    <n v="1"/>
    <s v="OK"/>
    <n v="3.0096733046422468"/>
    <n v="24.168567655180695"/>
    <n v="52.061599602583208"/>
    <n v="52.480916030534353"/>
    <n v="1233.0367865768822"/>
    <n v="13.330367865768821"/>
  </r>
  <r>
    <d v="2025-08-05T00:00:00"/>
    <s v="AD002"/>
    <s v="MBA Admission"/>
    <x v="4"/>
    <s v="21–35 Age"/>
    <n v="276190"/>
    <n v="8837"/>
    <n v="1345"/>
    <n v="850"/>
    <n v="400"/>
    <n v="258734.91"/>
    <n v="1603909.43"/>
    <s v="West India"/>
    <n v="1"/>
    <s v="OK"/>
    <n v="3.1996089648430424"/>
    <n v="15.220097318094375"/>
    <n v="63.19702602230484"/>
    <n v="47.058823529411761"/>
    <n v="519.90453085747106"/>
    <n v="6.1990453085747106"/>
  </r>
  <r>
    <d v="2025-08-06T00:00:00"/>
    <s v="AD002"/>
    <s v="MBA Admission"/>
    <x v="4"/>
    <s v="21–35 Age"/>
    <n v="157823"/>
    <n v="7462"/>
    <n v="1653"/>
    <n v="1051"/>
    <n v="551"/>
    <n v="152142.20000000001"/>
    <n v="2267468.2599999998"/>
    <s v="West India"/>
    <n v="1"/>
    <s v="OK"/>
    <n v="4.7280814583425732"/>
    <n v="22.152238005896542"/>
    <n v="63.58136721113128"/>
    <n v="52.426260704091341"/>
    <n v="1390.361162123329"/>
    <n v="14.90361162123329"/>
  </r>
  <r>
    <d v="2025-08-07T00:00:00"/>
    <s v="AD002"/>
    <s v="MBA Admission"/>
    <x v="4"/>
    <s v="21–35 Age"/>
    <n v="168164"/>
    <n v="12919"/>
    <n v="3045"/>
    <n v="1753"/>
    <n v="778"/>
    <n v="141390.10999999999"/>
    <n v="3060297.73"/>
    <s v="West India"/>
    <n v="1"/>
    <s v="OK"/>
    <n v="7.6823814847410858"/>
    <n v="23.569935753541298"/>
    <n v="57.569786535303777"/>
    <n v="44.381061038220196"/>
    <n v="2064.435496938223"/>
    <n v="21.644354969382231"/>
  </r>
  <r>
    <d v="2025-08-08T00:00:00"/>
    <s v="AD002"/>
    <s v="MBA Admission"/>
    <x v="4"/>
    <s v="21–35 Age"/>
    <n v="196818"/>
    <n v="10477"/>
    <n v="1940"/>
    <n v="1106"/>
    <n v="531"/>
    <n v="148549.07"/>
    <n v="4182575.02"/>
    <s v="South India"/>
    <n v="1"/>
    <s v="OK"/>
    <n v="5.3231919844729649"/>
    <n v="18.516750978333494"/>
    <n v="57.010309278350512"/>
    <n v="48.010849909584088"/>
    <n v="2715.6184485032454"/>
    <n v="28.156184485032455"/>
  </r>
  <r>
    <d v="2025-08-09T00:00:00"/>
    <s v="AD002"/>
    <s v="MBA Admission"/>
    <x v="4"/>
    <s v="21–35 Age"/>
    <n v="87549"/>
    <n v="4272"/>
    <n v="877"/>
    <n v="466"/>
    <n v="259"/>
    <n v="55978.68"/>
    <n v="1264912.83"/>
    <s v="North India"/>
    <n v="1"/>
    <s v="OK"/>
    <n v="4.8795531645135863"/>
    <n v="20.529026217228463"/>
    <n v="53.135689851767388"/>
    <n v="55.579399141630901"/>
    <n v="2159.6331853484221"/>
    <n v="22.596331853484219"/>
  </r>
  <r>
    <d v="2025-08-10T00:00:00"/>
    <s v="AD002"/>
    <s v="MBA Admission"/>
    <x v="4"/>
    <s v="21–35 Age"/>
    <n v="209975"/>
    <n v="7033"/>
    <n v="1633"/>
    <n v="987"/>
    <n v="489"/>
    <n v="104015.44"/>
    <n v="3787589.47"/>
    <s v="West India"/>
    <n v="1"/>
    <s v="OK"/>
    <n v="3.3494463626622215"/>
    <n v="23.219109910422294"/>
    <n v="60.440906307409684"/>
    <n v="49.544072948328264"/>
    <n v="3541.3723481821548"/>
    <n v="36.413723481821549"/>
  </r>
  <r>
    <d v="2025-08-11T00:00:00"/>
    <s v="AD002"/>
    <s v="MBA Admission"/>
    <x v="4"/>
    <s v="21–35 Age"/>
    <n v="248579"/>
    <n v="16137"/>
    <n v="3772"/>
    <n v="2122"/>
    <n v="1032"/>
    <n v="155529.26"/>
    <n v="3706021.15"/>
    <s v="North India"/>
    <n v="1"/>
    <s v="OK"/>
    <n v="6.491698816070544"/>
    <n v="23.374852822705584"/>
    <n v="56.256627783669146"/>
    <n v="48.633364750235621"/>
    <n v="2282.8449707791315"/>
    <n v="23.828449707791318"/>
  </r>
  <r>
    <d v="2025-08-12T00:00:00"/>
    <s v="AD002"/>
    <s v="MBA Admission"/>
    <x v="4"/>
    <s v="21–35 Age"/>
    <n v="105929"/>
    <n v="6513"/>
    <n v="1176"/>
    <n v="544"/>
    <n v="290"/>
    <n v="45471.22"/>
    <n v="1842642.34"/>
    <s v="North India"/>
    <n v="1"/>
    <s v="OK"/>
    <n v="6.1484579293677841"/>
    <n v="18.056195301704285"/>
    <n v="46.258503401360542"/>
    <n v="53.308823529411761"/>
    <n v="3952.326592512803"/>
    <n v="40.52326592512803"/>
  </r>
  <r>
    <d v="2025-08-13T00:00:00"/>
    <s v="AD002"/>
    <s v="MBA Admission"/>
    <x v="4"/>
    <s v="21–35 Age"/>
    <n v="285906"/>
    <n v="22490"/>
    <n v="5143"/>
    <n v="2920"/>
    <n v="1595"/>
    <n v="142184.53"/>
    <n v="5142498.68"/>
    <s v="North India"/>
    <n v="1"/>
    <s v="OK"/>
    <n v="7.8662217651955535"/>
    <n v="22.867941307247666"/>
    <n v="56.776200661092744"/>
    <n v="54.62328767123288"/>
    <n v="3516.7779152907842"/>
    <n v="36.167779152907841"/>
  </r>
  <r>
    <d v="2025-08-14T00:00:00"/>
    <s v="AD002"/>
    <s v="MBA Admission"/>
    <x v="4"/>
    <s v="21–35 Age"/>
    <n v="114829"/>
    <n v="6699"/>
    <n v="1279"/>
    <n v="675"/>
    <n v="334"/>
    <n v="87179.3"/>
    <n v="2116901.4700000002"/>
    <s v="West India"/>
    <n v="1"/>
    <s v="OK"/>
    <n v="5.8338921352619986"/>
    <n v="19.09240185102254"/>
    <n v="52.775605942142299"/>
    <n v="49.481481481481481"/>
    <n v="2328.2157232278764"/>
    <n v="24.282157232278767"/>
  </r>
  <r>
    <d v="2025-08-15T00:00:00"/>
    <s v="AD002"/>
    <s v="MBA Admission"/>
    <x v="4"/>
    <s v="21–35 Age"/>
    <n v="139439"/>
    <n v="8820"/>
    <n v="2115"/>
    <n v="1244"/>
    <n v="610"/>
    <n v="68482.23"/>
    <n v="2965372.21"/>
    <s v="East India"/>
    <n v="1"/>
    <s v="OK"/>
    <n v="6.3253465673161742"/>
    <n v="23.979591836734691"/>
    <n v="58.817966903073284"/>
    <n v="49.035369774919616"/>
    <n v="4230.13383179841"/>
    <n v="43.301338317984097"/>
  </r>
  <r>
    <d v="2025-08-16T00:00:00"/>
    <s v="AD002"/>
    <s v="MBA Admission"/>
    <x v="4"/>
    <s v="21–35 Age"/>
    <n v="156143"/>
    <n v="12051"/>
    <n v="2488"/>
    <n v="1574"/>
    <n v="776"/>
    <n v="67878.95"/>
    <n v="6203499.9299999997"/>
    <s v="North India"/>
    <n v="1"/>
    <s v="OK"/>
    <n v="7.7179252352010659"/>
    <n v="20.645589577628414"/>
    <n v="63.263665594855297"/>
    <n v="49.30114358322745"/>
    <n v="9039.062890631043"/>
    <n v="91.390628906310425"/>
  </r>
  <r>
    <d v="2025-08-17T00:00:00"/>
    <s v="AD002"/>
    <s v="MBA Admission"/>
    <x v="4"/>
    <s v="21–35 Age"/>
    <n v="240812"/>
    <n v="8480"/>
    <n v="1398"/>
    <n v="794"/>
    <n v="351"/>
    <n v="97560.76"/>
    <n v="2504594.84"/>
    <s v="East India"/>
    <n v="1"/>
    <s v="OK"/>
    <n v="3.5214191983788181"/>
    <n v="16.485849056603776"/>
    <n v="56.795422031473528"/>
    <n v="44.206549118387912"/>
    <n v="2467.2153845460002"/>
    <n v="25.672153845459999"/>
  </r>
  <r>
    <d v="2025-08-18T00:00:00"/>
    <s v="AD002"/>
    <s v="MBA Admission"/>
    <x v="4"/>
    <s v="21–35 Age"/>
    <n v="138243"/>
    <n v="8910"/>
    <n v="1845"/>
    <n v="909"/>
    <n v="537"/>
    <n v="101458.77"/>
    <n v="3422258.08"/>
    <s v="South India"/>
    <n v="1"/>
    <s v="OK"/>
    <n v="6.4451726308022828"/>
    <n v="20.707070707070706"/>
    <n v="49.268292682926827"/>
    <n v="59.07590759075908"/>
    <n v="3273.052994827357"/>
    <n v="33.730529948273571"/>
  </r>
  <r>
    <d v="2025-08-19T00:00:00"/>
    <s v="AD002"/>
    <s v="MBA Admission"/>
    <x v="4"/>
    <s v="21–35 Age"/>
    <n v="218087"/>
    <n v="9347"/>
    <n v="2279"/>
    <n v="1102"/>
    <n v="475"/>
    <n v="204860.79"/>
    <n v="2934887.01"/>
    <s v="East India"/>
    <n v="1"/>
    <s v="OK"/>
    <n v="4.285904249221641"/>
    <n v="24.382154702043437"/>
    <n v="48.354541465555066"/>
    <n v="43.103448275862064"/>
    <n v="1332.6250572400895"/>
    <n v="14.326250572400896"/>
  </r>
  <r>
    <d v="2025-08-20T00:00:00"/>
    <s v="AD002"/>
    <s v="MBA Admission"/>
    <x v="4"/>
    <s v="21–35 Age"/>
    <n v="120567"/>
    <n v="7874"/>
    <n v="1738"/>
    <n v="882"/>
    <n v="513"/>
    <n v="85980.89"/>
    <n v="2514070.6800000002"/>
    <s v="East India"/>
    <n v="1"/>
    <s v="OK"/>
    <n v="6.5308085960503286"/>
    <n v="22.07264414528829"/>
    <n v="50.747986191024161"/>
    <n v="58.163265306122447"/>
    <n v="2823.9877372751084"/>
    <n v="29.239877372751085"/>
  </r>
  <r>
    <d v="2025-08-21T00:00:00"/>
    <s v="AD002"/>
    <s v="MBA Admission"/>
    <x v="4"/>
    <s v="21–35 Age"/>
    <n v="60672"/>
    <n v="4419"/>
    <n v="871"/>
    <n v="435"/>
    <n v="245"/>
    <n v="51458.58"/>
    <n v="887743.91"/>
    <s v="North India"/>
    <n v="1"/>
    <s v="OK"/>
    <n v="7.2834256329113929"/>
    <n v="19.710341706268387"/>
    <n v="49.942594718714126"/>
    <n v="56.321839080459768"/>
    <n v="1625.1620818141505"/>
    <n v="17.251620818141504"/>
  </r>
  <r>
    <d v="2025-08-22T00:00:00"/>
    <s v="AD002"/>
    <s v="MBA Admission"/>
    <x v="4"/>
    <s v="21–35 Age"/>
    <n v="100402"/>
    <n v="5050"/>
    <n v="816"/>
    <n v="428"/>
    <n v="214"/>
    <n v="59444.37"/>
    <n v="833256.71"/>
    <s v="South India"/>
    <n v="1"/>
    <s v="OK"/>
    <n v="5.0297802832612897"/>
    <n v="16.158415841584159"/>
    <n v="52.450980392156865"/>
    <n v="50"/>
    <n v="1301.7420152657012"/>
    <n v="14.017420152657012"/>
  </r>
  <r>
    <d v="2025-08-23T00:00:00"/>
    <s v="AD002"/>
    <s v="MBA Admission"/>
    <x v="4"/>
    <s v="21–35 Age"/>
    <n v="182510"/>
    <n v="10026"/>
    <n v="2101"/>
    <n v="1067"/>
    <n v="537"/>
    <n v="125713.35"/>
    <n v="3892044.05"/>
    <s v="East India"/>
    <n v="1"/>
    <s v="OK"/>
    <n v="5.4933976220481062"/>
    <n v="20.955515659285854"/>
    <n v="50.785340314136128"/>
    <n v="50.328022492970945"/>
    <n v="2995.9671745284008"/>
    <n v="30.959671745284009"/>
  </r>
  <r>
    <d v="2025-08-24T00:00:00"/>
    <s v="AD002"/>
    <s v="MBA Admission"/>
    <x v="4"/>
    <s v="21–35 Age"/>
    <n v="91784"/>
    <n v="5762"/>
    <n v="1342"/>
    <n v="834"/>
    <n v="453"/>
    <n v="53692.75"/>
    <n v="2444731.5"/>
    <s v="East India"/>
    <n v="1"/>
    <s v="OK"/>
    <n v="6.2777826200644995"/>
    <n v="23.290524123568204"/>
    <n v="62.14605067064084"/>
    <n v="54.316546762589923"/>
    <n v="4453.1873483850241"/>
    <n v="45.531873483850241"/>
  </r>
  <r>
    <d v="2025-08-25T00:00:00"/>
    <s v="AD002"/>
    <s v="MBA Admission"/>
    <x v="4"/>
    <s v="21–35 Age"/>
    <n v="277958"/>
    <n v="10817"/>
    <n v="2519"/>
    <n v="1222"/>
    <n v="546"/>
    <n v="258352.11"/>
    <n v="3167583.01"/>
    <s v="West India"/>
    <n v="1"/>
    <s v="OK"/>
    <n v="3.8915951330776593"/>
    <n v="23.28741795322178"/>
    <n v="48.511314013497419"/>
    <n v="44.680851063829785"/>
    <n v="1126.0720494986474"/>
    <n v="12.260720494986474"/>
  </r>
  <r>
    <d v="2025-08-26T00:00:00"/>
    <s v="AD002"/>
    <s v="MBA Admission"/>
    <x v="4"/>
    <s v="21–35 Age"/>
    <n v="192183"/>
    <n v="10955"/>
    <n v="1911"/>
    <n v="982"/>
    <n v="531"/>
    <n v="99989.22"/>
    <n v="2721879.68"/>
    <s v="South India"/>
    <n v="1"/>
    <s v="OK"/>
    <n v="5.7002960719730673"/>
    <n v="17.444089456869012"/>
    <n v="51.386708529565674"/>
    <n v="54.073319755600814"/>
    <n v="2622.1731302634425"/>
    <n v="27.221731302634424"/>
  </r>
  <r>
    <d v="2025-08-27T00:00:00"/>
    <s v="AD002"/>
    <s v="MBA Admission"/>
    <x v="4"/>
    <s v="21–35 Age"/>
    <n v="263391"/>
    <n v="15760"/>
    <n v="2389"/>
    <n v="1303"/>
    <n v="686"/>
    <n v="138918.72"/>
    <n v="3426291.48"/>
    <s v="West India"/>
    <n v="1"/>
    <s v="OK"/>
    <n v="5.9834998158631088"/>
    <n v="15.158629441624367"/>
    <n v="54.541649225617419"/>
    <n v="52.647735993860323"/>
    <n v="2366.4001223161281"/>
    <n v="24.664001223161286"/>
  </r>
  <r>
    <d v="2025-08-28T00:00:00"/>
    <s v="AD002"/>
    <s v="MBA Admission"/>
    <x v="4"/>
    <s v="21–35 Age"/>
    <n v="272021"/>
    <n v="16255"/>
    <n v="3053"/>
    <n v="1496"/>
    <n v="719"/>
    <n v="201326.36"/>
    <n v="2668478.92"/>
    <s v="Pan India"/>
    <n v="1"/>
    <s v="OK"/>
    <n v="5.9756415864951604"/>
    <n v="18.781913257459244"/>
    <n v="49.000982640026201"/>
    <n v="48.061497326203209"/>
    <n v="1225.4493450336063"/>
    <n v="13.254493450336062"/>
  </r>
  <r>
    <d v="2025-08-29T00:00:00"/>
    <s v="AD002"/>
    <s v="MBA Admission"/>
    <x v="4"/>
    <s v="21–35 Age"/>
    <n v="156442"/>
    <n v="5047"/>
    <n v="1081"/>
    <n v="616"/>
    <n v="364"/>
    <n v="81569.7"/>
    <n v="1780402.59"/>
    <s v="North India"/>
    <n v="1"/>
    <s v="OK"/>
    <n v="3.2261157489676688"/>
    <n v="21.418664553199921"/>
    <n v="56.984273820536536"/>
    <n v="59.090909090909093"/>
    <n v="2082.6763982213988"/>
    <n v="21.826763982213986"/>
  </r>
  <r>
    <d v="2025-08-30T00:00:00"/>
    <s v="AD002"/>
    <s v="MBA Admission"/>
    <x v="4"/>
    <s v="21–35 Age"/>
    <n v="247071"/>
    <n v="14991"/>
    <n v="3641"/>
    <n v="1717"/>
    <n v="746"/>
    <n v="196671.42"/>
    <n v="5676011.4400000004"/>
    <s v="North India"/>
    <n v="1"/>
    <s v="OK"/>
    <n v="6.0674866738710733"/>
    <n v="24.287906076979521"/>
    <n v="47.157374347706678"/>
    <n v="43.447874199184625"/>
    <n v="2786.0377577992776"/>
    <n v="28.860377577992775"/>
  </r>
  <r>
    <d v="2025-08-31T00:00:00"/>
    <s v="AD002"/>
    <s v="MBA Admission"/>
    <x v="4"/>
    <s v="21–35 Age"/>
    <n v="250143"/>
    <n v="13827"/>
    <n v="2421"/>
    <n v="1432"/>
    <n v="812"/>
    <n v="246806.14"/>
    <n v="4206184.57"/>
    <s v="East India"/>
    <n v="1"/>
    <s v="OK"/>
    <n v="5.5276381909547743"/>
    <n v="17.509221089173359"/>
    <n v="59.149111937216027"/>
    <n v="56.703910614525142"/>
    <n v="1604.2463246659911"/>
    <n v="17.04246324665991"/>
  </r>
  <r>
    <d v="2025-09-01T00:00:00"/>
    <s v="AD002"/>
    <s v="MBA Admission"/>
    <x v="4"/>
    <s v="21–35 Age"/>
    <n v="107058"/>
    <n v="3243"/>
    <n v="768"/>
    <n v="451"/>
    <n v="183"/>
    <n v="93964.07"/>
    <n v="1201913.08"/>
    <s v="South India"/>
    <n v="1"/>
    <s v="OK"/>
    <n v="3.0291991257075606"/>
    <n v="23.681776133209993"/>
    <n v="58.723958333333336"/>
    <n v="40.576496674057651"/>
    <n v="1179.1198593249526"/>
    <n v="12.791198593249526"/>
  </r>
  <r>
    <d v="2025-09-02T00:00:00"/>
    <s v="AD002"/>
    <s v="MBA Admission"/>
    <x v="4"/>
    <s v="21–35 Age"/>
    <n v="70747"/>
    <n v="4626"/>
    <n v="1107"/>
    <n v="534"/>
    <n v="275"/>
    <n v="61069.08"/>
    <n v="943623.62"/>
    <s v="South India"/>
    <n v="1"/>
    <s v="OK"/>
    <n v="6.5387931643744608"/>
    <n v="23.929961089494164"/>
    <n v="48.238482384823847"/>
    <n v="51.49812734082397"/>
    <n v="1445.1741208480626"/>
    <n v="15.451741208480625"/>
  </r>
  <r>
    <d v="2025-09-03T00:00:00"/>
    <s v="AD002"/>
    <s v="MBA Admission"/>
    <x v="4"/>
    <s v="21–35 Age"/>
    <n v="239227"/>
    <n v="14680"/>
    <n v="3320"/>
    <n v="1838"/>
    <n v="874"/>
    <n v="144170.21"/>
    <n v="6122970.7599999998"/>
    <s v="Pan India"/>
    <n v="1"/>
    <s v="OK"/>
    <n v="6.1364310884640947"/>
    <n v="22.615803814713896"/>
    <n v="55.361445783132538"/>
    <n v="47.551686615886837"/>
    <n v="4147.0429640076136"/>
    <n v="42.470429640076134"/>
  </r>
  <r>
    <d v="2025-09-04T00:00:00"/>
    <s v="AD002"/>
    <s v="MBA Admission"/>
    <x v="4"/>
    <s v="21–35 Age"/>
    <n v="205200"/>
    <n v="14587"/>
    <n v="2970"/>
    <n v="1688"/>
    <n v="853"/>
    <n v="110816.95"/>
    <n v="5569954.6600000001"/>
    <s v="East India"/>
    <n v="1"/>
    <s v="OK"/>
    <n v="7.1086744639376214"/>
    <n v="20.360595050387332"/>
    <n v="56.835016835016837"/>
    <n v="50.533175355450233"/>
    <n v="4926.265981873712"/>
    <n v="50.26265981873712"/>
  </r>
  <r>
    <d v="2025-09-05T00:00:00"/>
    <s v="AD002"/>
    <s v="MBA Admission"/>
    <x v="4"/>
    <s v="21–35 Age"/>
    <n v="281976"/>
    <n v="15138"/>
    <n v="3583"/>
    <n v="1682"/>
    <n v="882"/>
    <n v="184334.8"/>
    <n v="5829281.5499999998"/>
    <s v="South India"/>
    <n v="1"/>
    <s v="OK"/>
    <n v="5.3685420035747722"/>
    <n v="23.668912670101729"/>
    <n v="46.943901758303099"/>
    <n v="52.437574316290124"/>
    <n v="3062.3337264585962"/>
    <n v="31.62333726458596"/>
  </r>
  <r>
    <d v="2025-09-06T00:00:00"/>
    <s v="AD002"/>
    <s v="MBA Admission"/>
    <x v="4"/>
    <s v="21–35 Age"/>
    <n v="137599"/>
    <n v="10631"/>
    <n v="2329"/>
    <n v="1429"/>
    <n v="624"/>
    <n v="116671.7"/>
    <n v="1995280.37"/>
    <s v="Pan India"/>
    <n v="1"/>
    <s v="OK"/>
    <n v="7.7260735906510947"/>
    <n v="21.907628633242403"/>
    <n v="61.356805495920995"/>
    <n v="43.666899930020989"/>
    <n v="1610.1665356723186"/>
    <n v="17.101665356723181"/>
  </r>
  <r>
    <d v="2025-09-07T00:00:00"/>
    <s v="AD002"/>
    <s v="MBA Admission"/>
    <x v="4"/>
    <s v="21–35 Age"/>
    <n v="197813"/>
    <n v="9162"/>
    <n v="1467"/>
    <n v="664"/>
    <n v="331"/>
    <n v="126646.91"/>
    <n v="2242704.0299999998"/>
    <s v="North India"/>
    <n v="1"/>
    <s v="OK"/>
    <n v="4.6316470606077456"/>
    <n v="16.011787819253438"/>
    <n v="45.262440354464893"/>
    <n v="49.849397590361441"/>
    <n v="1670.8320163516028"/>
    <n v="17.708320163516028"/>
  </r>
  <r>
    <d v="2025-09-08T00:00:00"/>
    <s v="AD002"/>
    <s v="MBA Admission"/>
    <x v="4"/>
    <s v="21–35 Age"/>
    <n v="183517"/>
    <n v="8806"/>
    <n v="1894"/>
    <n v="1152"/>
    <n v="607"/>
    <n v="156011.44"/>
    <n v="3701255.37"/>
    <s v="West India"/>
    <n v="1"/>
    <s v="OK"/>
    <n v="4.7984655372526799"/>
    <n v="21.508062684533272"/>
    <n v="60.823653643083418"/>
    <n v="52.690972222222221"/>
    <n v="2272.4256182751728"/>
    <n v="23.724256182751727"/>
  </r>
  <r>
    <d v="2025-09-09T00:00:00"/>
    <s v="AD002"/>
    <s v="MBA Admission"/>
    <x v="4"/>
    <s v="21–35 Age"/>
    <n v="92749"/>
    <n v="6844"/>
    <n v="1354"/>
    <n v="704"/>
    <n v="396"/>
    <n v="68351.570000000007"/>
    <n v="1710346.58"/>
    <s v="East India"/>
    <n v="1"/>
    <s v="OK"/>
    <n v="7.3790552997875984"/>
    <n v="19.78375219170076"/>
    <n v="51.994091580502214"/>
    <n v="56.25"/>
    <n v="2402.2784114541919"/>
    <n v="25.022784114541917"/>
  </r>
  <r>
    <d v="2025-09-10T00:00:00"/>
    <s v="AD002"/>
    <s v="MBA Admission"/>
    <x v="4"/>
    <s v="21–35 Age"/>
    <n v="242936"/>
    <n v="9558"/>
    <n v="1983"/>
    <n v="1172"/>
    <n v="687"/>
    <n v="221405.22"/>
    <n v="3264776.12"/>
    <s v="South India"/>
    <n v="1"/>
    <s v="OK"/>
    <n v="3.9343695458886287"/>
    <n v="20.747018204645322"/>
    <n v="59.102370146243068"/>
    <n v="58.617747440273035"/>
    <n v="1374.5705272892844"/>
    <n v="14.745705272892843"/>
  </r>
  <r>
    <d v="2025-09-11T00:00:00"/>
    <s v="AD002"/>
    <s v="MBA Admission"/>
    <x v="4"/>
    <s v="21–35 Age"/>
    <n v="99617"/>
    <n v="3517"/>
    <n v="638"/>
    <n v="340"/>
    <n v="165"/>
    <n v="43282.33"/>
    <n v="505160.33"/>
    <s v="East India"/>
    <n v="1"/>
    <s v="OK"/>
    <n v="3.5305218988726823"/>
    <n v="18.140460619846461"/>
    <n v="53.291536050156743"/>
    <n v="48.529411764705884"/>
    <n v="1067.1283177222667"/>
    <n v="11.671283177222668"/>
  </r>
  <r>
    <d v="2025-09-12T00:00:00"/>
    <s v="AD002"/>
    <s v="MBA Admission"/>
    <x v="4"/>
    <s v="21–35 Age"/>
    <n v="76637"/>
    <n v="3191"/>
    <n v="733"/>
    <n v="446"/>
    <n v="203"/>
    <n v="74481.25"/>
    <n v="656000.98"/>
    <s v="Pan India"/>
    <n v="1"/>
    <s v="OK"/>
    <n v="4.1637851168495637"/>
    <n v="22.970855531181446"/>
    <n v="60.845839017735337"/>
    <n v="45.515695067264573"/>
    <n v="780.75989594696648"/>
    <n v="8.8075989594696651"/>
  </r>
  <r>
    <d v="2025-09-13T00:00:00"/>
    <s v="AD002"/>
    <s v="MBA Admission"/>
    <x v="4"/>
    <s v="21–35 Age"/>
    <n v="166151"/>
    <n v="7773"/>
    <n v="1561"/>
    <n v="853"/>
    <n v="511"/>
    <n v="164748.20000000001"/>
    <n v="4031732.04"/>
    <s v="East India"/>
    <n v="1"/>
    <s v="OK"/>
    <n v="4.6782745815553319"/>
    <n v="20.082336292293839"/>
    <n v="54.644458680333116"/>
    <n v="59.906213364595537"/>
    <n v="2347.2085522026946"/>
    <n v="24.472085522026948"/>
  </r>
  <r>
    <d v="2025-09-14T00:00:00"/>
    <s v="AD002"/>
    <s v="MBA Admission"/>
    <x v="4"/>
    <s v="21–35 Age"/>
    <n v="107335"/>
    <n v="5840"/>
    <n v="883"/>
    <n v="548"/>
    <n v="311"/>
    <n v="91579.99"/>
    <n v="1951223.87"/>
    <s v="West India"/>
    <n v="1"/>
    <s v="OK"/>
    <n v="5.4409093026505797"/>
    <n v="15.11986301369863"/>
    <n v="62.061155152887878"/>
    <n v="56.751824817518248"/>
    <n v="2030.6224973381195"/>
    <n v="21.306224973381195"/>
  </r>
  <r>
    <d v="2025-09-15T00:00:00"/>
    <s v="AD002"/>
    <s v="MBA Admission"/>
    <x v="4"/>
    <s v="21–35 Age"/>
    <n v="132078"/>
    <n v="9148"/>
    <n v="2250"/>
    <n v="1070"/>
    <n v="580"/>
    <n v="89794.27"/>
    <n v="2201670.15"/>
    <s v="South India"/>
    <n v="1"/>
    <s v="OK"/>
    <n v="6.9262102696891228"/>
    <n v="24.595540008745083"/>
    <n v="47.555555555555557"/>
    <n v="54.205607476635507"/>
    <n v="2351.904948946074"/>
    <n v="24.519049489460741"/>
  </r>
  <r>
    <d v="2025-09-16T00:00:00"/>
    <s v="AD002"/>
    <s v="MBA Admission"/>
    <x v="4"/>
    <s v="21–35 Age"/>
    <n v="101493"/>
    <n v="6771"/>
    <n v="1085"/>
    <n v="554"/>
    <n v="279"/>
    <n v="77121.89"/>
    <n v="992341.27"/>
    <s v="West India"/>
    <n v="1"/>
    <s v="OK"/>
    <n v="6.6713960568709165"/>
    <n v="16.024220942253727"/>
    <n v="51.059907834101381"/>
    <n v="50.361010830324915"/>
    <n v="1186.7180381601124"/>
    <n v="12.867180381601125"/>
  </r>
  <r>
    <d v="2025-09-17T00:00:00"/>
    <s v="AD002"/>
    <s v="MBA Admission"/>
    <x v="4"/>
    <s v="21–35 Age"/>
    <n v="111983"/>
    <n v="6950"/>
    <n v="1441"/>
    <n v="658"/>
    <n v="268"/>
    <n v="90692.09"/>
    <n v="1466996.16"/>
    <s v="North India"/>
    <n v="1"/>
    <s v="OK"/>
    <n v="6.2062991704097943"/>
    <n v="20.733812949640289"/>
    <n v="45.662734212352532"/>
    <n v="40.729483282674771"/>
    <n v="1517.5569004970553"/>
    <n v="16.175569004970555"/>
  </r>
  <r>
    <d v="2025-09-18T00:00:00"/>
    <s v="AD002"/>
    <s v="MBA Admission"/>
    <x v="4"/>
    <s v="21–35 Age"/>
    <n v="215192"/>
    <n v="7975"/>
    <n v="1358"/>
    <n v="818"/>
    <n v="362"/>
    <n v="93531.85"/>
    <n v="2116994.9300000002"/>
    <s v="North India"/>
    <n v="1"/>
    <s v="OK"/>
    <n v="3.7059927878359789"/>
    <n v="17.028213166144202"/>
    <n v="60.235640648011781"/>
    <n v="44.254278728606359"/>
    <n v="2163.394693893043"/>
    <n v="22.633946938930428"/>
  </r>
  <r>
    <d v="2025-09-19T00:00:00"/>
    <s v="AD002"/>
    <s v="MBA Admission"/>
    <x v="4"/>
    <s v="21–35 Age"/>
    <n v="261009"/>
    <n v="19792"/>
    <n v="4855"/>
    <n v="2851"/>
    <n v="1191"/>
    <n v="193741.4"/>
    <n v="8258758.7300000004"/>
    <s v="Pan India"/>
    <n v="1"/>
    <s v="OK"/>
    <n v="7.5828802838216305"/>
    <n v="24.53011317704123"/>
    <n v="58.72296601441812"/>
    <n v="41.774815854086285"/>
    <n v="4162.7743631459252"/>
    <n v="42.627743631459261"/>
  </r>
  <r>
    <d v="2025-09-20T00:00:00"/>
    <s v="AD002"/>
    <s v="MBA Admission"/>
    <x v="4"/>
    <s v="21–35 Age"/>
    <n v="197776"/>
    <n v="11695"/>
    <n v="1855"/>
    <n v="1099"/>
    <n v="619"/>
    <n v="120118.79"/>
    <n v="3111027.07"/>
    <s v="Pan India"/>
    <n v="1"/>
    <s v="OK"/>
    <n v="5.9132554000485404"/>
    <n v="15.861479264643011"/>
    <n v="59.245283018867923"/>
    <n v="56.323930846223838"/>
    <n v="2489.9587150353414"/>
    <n v="25.899587150353412"/>
  </r>
  <r>
    <d v="2025-09-21T00:00:00"/>
    <s v="AD002"/>
    <s v="MBA Admission"/>
    <x v="4"/>
    <s v="21–35 Age"/>
    <n v="272006"/>
    <n v="16516"/>
    <n v="2535"/>
    <n v="1364"/>
    <n v="637"/>
    <n v="121243.02"/>
    <n v="4131056.57"/>
    <s v="Pan India"/>
    <n v="1"/>
    <s v="OK"/>
    <n v="6.0719248840099116"/>
    <n v="15.348752724630661"/>
    <n v="53.806706114398416"/>
    <n v="46.700879765395889"/>
    <n v="3307.2531103233814"/>
    <n v="34.072531103233814"/>
  </r>
  <r>
    <d v="2025-09-22T00:00:00"/>
    <s v="AD002"/>
    <s v="MBA Admission"/>
    <x v="4"/>
    <s v="21–35 Age"/>
    <n v="130283"/>
    <n v="4990"/>
    <n v="834"/>
    <n v="405"/>
    <n v="218"/>
    <n v="106682.68"/>
    <n v="987967.58"/>
    <s v="Pan India"/>
    <n v="1"/>
    <s v="OK"/>
    <n v="3.8301236538919121"/>
    <n v="16.713426853707414"/>
    <n v="48.561151079136685"/>
    <n v="53.827160493827165"/>
    <n v="826.08057840316712"/>
    <n v="9.2608057840316729"/>
  </r>
  <r>
    <d v="2025-09-23T00:00:00"/>
    <s v="AD002"/>
    <s v="MBA Admission"/>
    <x v="4"/>
    <s v="21–35 Age"/>
    <n v="135555"/>
    <n v="6016"/>
    <n v="1132"/>
    <n v="528"/>
    <n v="291"/>
    <n v="61223.53"/>
    <n v="2126629.7599999998"/>
    <s v="North India"/>
    <n v="1"/>
    <s v="OK"/>
    <n v="4.4380509756187525"/>
    <n v="18.816489361702125"/>
    <n v="46.64310954063604"/>
    <n v="55.113636363636367"/>
    <n v="3373.5497283479076"/>
    <n v="34.735497283479077"/>
  </r>
  <r>
    <d v="2025-09-24T00:00:00"/>
    <s v="AD002"/>
    <s v="MBA Admission"/>
    <x v="4"/>
    <s v="21–35 Age"/>
    <n v="170800"/>
    <n v="9993"/>
    <n v="1997"/>
    <n v="1153"/>
    <n v="565"/>
    <n v="123954.87"/>
    <n v="3933314.72"/>
    <s v="North India"/>
    <n v="1"/>
    <s v="OK"/>
    <n v="5.8507025761124121"/>
    <n v="19.983988792154509"/>
    <n v="57.736604907361041"/>
    <n v="49.002601908065913"/>
    <n v="3073.1828850290435"/>
    <n v="31.731828850290434"/>
  </r>
  <r>
    <d v="2025-09-25T00:00:00"/>
    <s v="AD002"/>
    <s v="MBA Admission"/>
    <x v="4"/>
    <s v="21–35 Age"/>
    <n v="216281"/>
    <n v="12275"/>
    <n v="2743"/>
    <n v="1436"/>
    <n v="761"/>
    <n v="153644.29999999999"/>
    <n v="4620519.83"/>
    <s v="Pan India"/>
    <n v="1"/>
    <s v="OK"/>
    <n v="5.6754869822129548"/>
    <n v="22.346232179226071"/>
    <n v="52.351440029165154"/>
    <n v="52.994428969359333"/>
    <n v="2907.2835959420563"/>
    <n v="30.072835959420562"/>
  </r>
  <r>
    <d v="2025-09-26T00:00:00"/>
    <s v="AD002"/>
    <s v="MBA Admission"/>
    <x v="4"/>
    <s v="21–35 Age"/>
    <n v="288814"/>
    <n v="15144"/>
    <n v="3229"/>
    <n v="1667"/>
    <n v="717"/>
    <n v="184629.3"/>
    <n v="5541722.6600000001"/>
    <s v="East India"/>
    <n v="1"/>
    <s v="OK"/>
    <n v="5.243513126094995"/>
    <n v="21.321975699947174"/>
    <n v="51.625890368535153"/>
    <n v="43.011397720455911"/>
    <n v="2901.540199740778"/>
    <n v="30.015401997407782"/>
  </r>
  <r>
    <d v="2025-09-27T00:00:00"/>
    <s v="AD002"/>
    <s v="MBA Admission"/>
    <x v="4"/>
    <s v="21–35 Age"/>
    <n v="63287"/>
    <n v="2103"/>
    <n v="392"/>
    <n v="234"/>
    <n v="105"/>
    <n v="40525.230000000003"/>
    <n v="774682.1"/>
    <s v="West India"/>
    <n v="1"/>
    <s v="OK"/>
    <n v="3.3229573214088202"/>
    <n v="18.640038040893963"/>
    <n v="59.693877551020414"/>
    <n v="44.871794871794876"/>
    <n v="1811.6044498698709"/>
    <n v="19.116044498698709"/>
  </r>
  <r>
    <d v="2025-09-28T00:00:00"/>
    <s v="AD002"/>
    <s v="MBA Admission"/>
    <x v="4"/>
    <s v="21–35 Age"/>
    <n v="84362"/>
    <n v="5530"/>
    <n v="851"/>
    <n v="502"/>
    <n v="294"/>
    <n v="70942.7"/>
    <n v="1046903.01"/>
    <s v="South India"/>
    <n v="1"/>
    <s v="OK"/>
    <n v="6.5550840425784118"/>
    <n v="15.388788426763112"/>
    <n v="58.989424206815514"/>
    <n v="58.56573705179283"/>
    <n v="1375.7022357480053"/>
    <n v="14.757022357480052"/>
  </r>
  <r>
    <d v="2025-09-29T00:00:00"/>
    <s v="AD002"/>
    <s v="MBA Admission"/>
    <x v="4"/>
    <s v="21–35 Age"/>
    <n v="183268"/>
    <n v="7046"/>
    <n v="1579"/>
    <n v="810"/>
    <n v="481"/>
    <n v="179224.85"/>
    <n v="2698270.88"/>
    <s v="East India"/>
    <n v="1"/>
    <s v="OK"/>
    <n v="3.8446428181679289"/>
    <n v="22.409877944933296"/>
    <n v="51.298290056998098"/>
    <n v="59.382716049382708"/>
    <n v="1405.52274419535"/>
    <n v="15.0552274419535"/>
  </r>
  <r>
    <d v="2025-09-30T00:00:00"/>
    <s v="AD002"/>
    <s v="MBA Admission"/>
    <x v="4"/>
    <s v="21–35 Age"/>
    <n v="262678"/>
    <n v="8632"/>
    <n v="1659"/>
    <n v="1014"/>
    <n v="452"/>
    <n v="114033.33"/>
    <n v="3043417.73"/>
    <s v="South India"/>
    <n v="1"/>
    <s v="OK"/>
    <n v="3.2861526279322977"/>
    <n v="19.219184430027802"/>
    <n v="61.121157323688969"/>
    <n v="44.57593688362919"/>
    <n v="2568.8843779270501"/>
    <n v="26.688843779270499"/>
  </r>
  <r>
    <d v="2025-10-01T00:00:00"/>
    <s v="AD002"/>
    <s v="MBA Admission"/>
    <x v="4"/>
    <s v="21–35 Age"/>
    <n v="96963"/>
    <n v="4818"/>
    <n v="1033"/>
    <n v="523"/>
    <n v="239"/>
    <n v="77182.98"/>
    <n v="921080.74"/>
    <s v="West India"/>
    <n v="1"/>
    <s v="OK"/>
    <n v="4.968905665047493"/>
    <n v="21.440431714404319"/>
    <n v="50.62923523717329"/>
    <n v="45.697896749521988"/>
    <n v="1093.372865364877"/>
    <n v="11.933728653648771"/>
  </r>
  <r>
    <d v="2025-10-02T00:00:00"/>
    <s v="AD002"/>
    <s v="MBA Admission"/>
    <x v="4"/>
    <s v="21–35 Age"/>
    <n v="238932"/>
    <n v="17897"/>
    <n v="3400"/>
    <n v="1696"/>
    <n v="835"/>
    <n v="154238.89000000001"/>
    <n v="3986006.43"/>
    <s v="South India"/>
    <n v="1"/>
    <s v="OK"/>
    <n v="7.4904156831232322"/>
    <n v="18.997597362686484"/>
    <n v="49.882352941176471"/>
    <n v="49.233490566037737"/>
    <n v="2484.3069993566469"/>
    <n v="25.843069993566473"/>
  </r>
  <r>
    <d v="2025-10-03T00:00:00"/>
    <s v="AD002"/>
    <s v="MBA Admission"/>
    <x v="4"/>
    <s v="21–35 Age"/>
    <n v="86613"/>
    <n v="4270"/>
    <n v="804"/>
    <n v="520"/>
    <n v="293"/>
    <n v="81879.25"/>
    <n v="2002746.27"/>
    <s v="South India"/>
    <n v="1"/>
    <s v="OK"/>
    <n v="4.9299758696731439"/>
    <n v="18.829039812646371"/>
    <n v="64.676616915422898"/>
    <n v="56.346153846153847"/>
    <n v="2345.9753478445391"/>
    <n v="24.459753478445393"/>
  </r>
  <r>
    <d v="2025-10-04T00:00:00"/>
    <s v="AD002"/>
    <s v="MBA Admission"/>
    <x v="4"/>
    <s v="21–35 Age"/>
    <n v="133105"/>
    <n v="6571"/>
    <n v="1269"/>
    <n v="758"/>
    <n v="414"/>
    <n v="125866.36"/>
    <n v="2149460.89"/>
    <s v="East India"/>
    <n v="1"/>
    <s v="OK"/>
    <n v="4.9367041057811498"/>
    <n v="19.31212905189469"/>
    <n v="59.732072498029943"/>
    <n v="54.617414248021113"/>
    <n v="1607.7326221239734"/>
    <n v="17.077326221239733"/>
  </r>
  <r>
    <d v="2025-10-05T00:00:00"/>
    <s v="AD002"/>
    <s v="MBA Admission"/>
    <x v="4"/>
    <s v="21–35 Age"/>
    <n v="277734"/>
    <n v="16825"/>
    <n v="4065"/>
    <n v="1971"/>
    <n v="1056"/>
    <n v="248427.75"/>
    <n v="5043350.97"/>
    <s v="North India"/>
    <n v="1"/>
    <s v="OK"/>
    <n v="6.0579547336660262"/>
    <n v="24.160475482912332"/>
    <n v="48.487084870848705"/>
    <n v="53.576864535768642"/>
    <n v="1930.1077355488665"/>
    <n v="20.301077355488665"/>
  </r>
  <r>
    <d v="2025-10-06T00:00:00"/>
    <s v="AD002"/>
    <s v="MBA Admission"/>
    <x v="4"/>
    <s v="21–35 Age"/>
    <n v="116985"/>
    <n v="8242"/>
    <n v="1752"/>
    <n v="845"/>
    <n v="384"/>
    <n v="92101.9"/>
    <n v="2994088.87"/>
    <s v="West India"/>
    <n v="1"/>
    <s v="OK"/>
    <n v="7.0453476941488224"/>
    <n v="21.256976462023779"/>
    <n v="48.230593607305941"/>
    <n v="45.443786982248518"/>
    <n v="3150.8437610950482"/>
    <n v="32.50843761095048"/>
  </r>
  <r>
    <d v="2025-10-07T00:00:00"/>
    <s v="AD002"/>
    <s v="MBA Admission"/>
    <x v="4"/>
    <s v="21–35 Age"/>
    <n v="229002"/>
    <n v="17513"/>
    <n v="3683"/>
    <n v="2365"/>
    <n v="1189"/>
    <n v="161077.87"/>
    <n v="9344118.6600000001"/>
    <s v="East India"/>
    <n v="1"/>
    <s v="OK"/>
    <n v="7.6475314626073141"/>
    <n v="21.030091931707876"/>
    <n v="64.213956014118921"/>
    <n v="50.274841437632134"/>
    <n v="5700.9946741908134"/>
    <n v="58.009946741908124"/>
  </r>
  <r>
    <d v="2025-10-08T00:00:00"/>
    <s v="AD002"/>
    <s v="MBA Admission"/>
    <x v="4"/>
    <s v="21–35 Age"/>
    <n v="190424"/>
    <n v="10827"/>
    <n v="2153"/>
    <n v="1389"/>
    <n v="633"/>
    <n v="105225"/>
    <n v="3490888.31"/>
    <s v="Pan India"/>
    <n v="1"/>
    <s v="OK"/>
    <n v="5.6857328908120826"/>
    <n v="19.885471506419137"/>
    <n v="64.514630747793774"/>
    <n v="45.572354211663068"/>
    <n v="3217.5465051081019"/>
    <n v="33.175465051081019"/>
  </r>
  <r>
    <d v="2025-10-09T00:00:00"/>
    <s v="AD002"/>
    <s v="MBA Admission"/>
    <x v="4"/>
    <s v="21–35 Age"/>
    <n v="110972"/>
    <n v="4268"/>
    <n v="982"/>
    <n v="454"/>
    <n v="200"/>
    <n v="97229.71"/>
    <n v="1191628"/>
    <s v="East India"/>
    <n v="1"/>
    <s v="OK"/>
    <n v="3.8460152110442269"/>
    <n v="23.008434864104967"/>
    <n v="46.232179226069249"/>
    <n v="44.052863436123346"/>
    <n v="1125.5801236062516"/>
    <n v="12.255801236062515"/>
  </r>
  <r>
    <d v="2025-10-10T00:00:00"/>
    <s v="AD002"/>
    <s v="MBA Admission"/>
    <x v="4"/>
    <s v="21–35 Age"/>
    <n v="90691"/>
    <n v="6497"/>
    <n v="1168"/>
    <n v="594"/>
    <n v="242"/>
    <n v="54234.25"/>
    <n v="815080.48"/>
    <s v="Pan India"/>
    <n v="1"/>
    <s v="OK"/>
    <n v="7.1638861629048094"/>
    <n v="17.977528089887642"/>
    <n v="50.856164383561641"/>
    <n v="40.74074074074074"/>
    <n v="1402.888820256572"/>
    <n v="15.028888202565721"/>
  </r>
  <r>
    <d v="2025-10-11T00:00:00"/>
    <s v="AD002"/>
    <s v="MBA Admission"/>
    <x v="4"/>
    <s v="21–35 Age"/>
    <n v="58157"/>
    <n v="3232"/>
    <n v="534"/>
    <n v="257"/>
    <n v="110"/>
    <n v="53956"/>
    <n v="475326.81"/>
    <s v="East India"/>
    <n v="1"/>
    <s v="OK"/>
    <n v="5.5573705658820094"/>
    <n v="16.522277227722775"/>
    <n v="48.127340823970037"/>
    <n v="42.80155642023346"/>
    <n v="780.95264660093414"/>
    <n v="8.8095264660093413"/>
  </r>
  <r>
    <d v="2025-10-12T00:00:00"/>
    <s v="AD002"/>
    <s v="MBA Admission"/>
    <x v="4"/>
    <s v="21–35 Age"/>
    <n v="135976"/>
    <n v="10257"/>
    <n v="1702"/>
    <n v="1092"/>
    <n v="457"/>
    <n v="95285.119999999995"/>
    <n v="1968745.07"/>
    <s v="Pan India"/>
    <n v="1"/>
    <s v="OK"/>
    <n v="7.5432429252220974"/>
    <n v="16.593545871112411"/>
    <n v="64.159811985898941"/>
    <n v="41.849816849816854"/>
    <n v="1966.1621352840825"/>
    <n v="20.661621352840822"/>
  </r>
  <r>
    <d v="2025-10-13T00:00:00"/>
    <s v="AD002"/>
    <s v="MBA Admission"/>
    <x v="4"/>
    <s v="21–35 Age"/>
    <n v="75257"/>
    <n v="2399"/>
    <n v="411"/>
    <n v="199"/>
    <n v="112"/>
    <n v="34218.43"/>
    <n v="450838.11"/>
    <s v="East India"/>
    <n v="1"/>
    <s v="OK"/>
    <n v="3.1877433328461136"/>
    <n v="17.13213839099625"/>
    <n v="48.418491484184919"/>
    <n v="56.281407035175882"/>
    <n v="1217.5300853955016"/>
    <n v="13.175300853955017"/>
  </r>
  <r>
    <d v="2025-10-14T00:00:00"/>
    <s v="AD002"/>
    <s v="MBA Admission"/>
    <x v="4"/>
    <s v="21–35 Age"/>
    <n v="198364"/>
    <n v="13118"/>
    <n v="1984"/>
    <n v="1175"/>
    <n v="480"/>
    <n v="91490.04"/>
    <n v="2452250.17"/>
    <s v="West India"/>
    <n v="1"/>
    <s v="OK"/>
    <n v="6.6130951180657771"/>
    <n v="15.124256746455252"/>
    <n v="59.223790322580648"/>
    <n v="40.851063829787229"/>
    <n v="2580.3465929187487"/>
    <n v="26.803465929187485"/>
  </r>
  <r>
    <d v="2025-10-15T00:00:00"/>
    <s v="AD002"/>
    <s v="MBA Admission"/>
    <x v="4"/>
    <s v="21–35 Age"/>
    <n v="295919"/>
    <n v="17609"/>
    <n v="3372"/>
    <n v="1885"/>
    <n v="798"/>
    <n v="153865.01999999999"/>
    <n v="5620586.3600000003"/>
    <s v="West India"/>
    <n v="1"/>
    <s v="OK"/>
    <n v="5.9506148642027048"/>
    <n v="19.149298654097336"/>
    <n v="55.901542111506522"/>
    <n v="42.334217506631298"/>
    <n v="3552.9331748047744"/>
    <n v="36.529331748047738"/>
  </r>
  <r>
    <d v="2025-10-16T00:00:00"/>
    <s v="AD002"/>
    <s v="MBA Admission"/>
    <x v="4"/>
    <s v="21–35 Age"/>
    <n v="219192"/>
    <n v="9561"/>
    <n v="2253"/>
    <n v="1253"/>
    <n v="681"/>
    <n v="111858.16"/>
    <n v="2520660.98"/>
    <s v="East India"/>
    <n v="1"/>
    <s v="OK"/>
    <n v="4.3619292674915142"/>
    <n v="23.564480702855349"/>
    <n v="55.61473590767865"/>
    <n v="54.349561053471675"/>
    <n v="2153.4439865629829"/>
    <n v="22.534439865629828"/>
  </r>
  <r>
    <d v="2025-10-17T00:00:00"/>
    <s v="AD002"/>
    <s v="MBA Admission"/>
    <x v="4"/>
    <s v="21–35 Age"/>
    <n v="274932"/>
    <n v="19134"/>
    <n v="4243"/>
    <n v="2579"/>
    <n v="1097"/>
    <n v="235450.39"/>
    <n v="5481451.6699999999"/>
    <s v="North India"/>
    <n v="1"/>
    <s v="OK"/>
    <n v="6.9595390860285447"/>
    <n v="22.175185533605102"/>
    <n v="60.782465236860716"/>
    <n v="42.535866614967041"/>
    <n v="2228.0707540981348"/>
    <n v="23.28070754098135"/>
  </r>
  <r>
    <d v="2025-10-18T00:00:00"/>
    <s v="AD002"/>
    <s v="MBA Admission"/>
    <x v="4"/>
    <s v="21–35 Age"/>
    <n v="73891"/>
    <n v="5322"/>
    <n v="940"/>
    <n v="560"/>
    <n v="325"/>
    <n v="30551.39"/>
    <n v="1890046.69"/>
    <s v="East India"/>
    <n v="1"/>
    <s v="OK"/>
    <n v="7.2025009811749738"/>
    <n v="17.662532882375046"/>
    <n v="59.574468085106382"/>
    <n v="58.035714285714292"/>
    <n v="6086.4507310469353"/>
    <n v="61.864507310469342"/>
  </r>
  <r>
    <d v="2025-10-19T00:00:00"/>
    <s v="AD002"/>
    <s v="MBA Admission"/>
    <x v="4"/>
    <s v="21–35 Age"/>
    <n v="78968"/>
    <n v="2541"/>
    <n v="471"/>
    <n v="249"/>
    <n v="121"/>
    <n v="54841.39"/>
    <n v="399316.55"/>
    <s v="North India"/>
    <n v="1"/>
    <s v="OK"/>
    <n v="3.2177590922905481"/>
    <n v="18.536009445100355"/>
    <n v="52.866242038216562"/>
    <n v="48.594377510040161"/>
    <n v="628.12988511049775"/>
    <n v="7.2812988511049772"/>
  </r>
  <r>
    <d v="2025-10-20T00:00:00"/>
    <s v="AD002"/>
    <s v="MBA Admission"/>
    <x v="4"/>
    <s v="21–35 Age"/>
    <n v="260789"/>
    <n v="14483"/>
    <n v="2729"/>
    <n v="1300"/>
    <n v="685"/>
    <n v="217576.56"/>
    <n v="2824586.55"/>
    <s v="West India"/>
    <n v="1"/>
    <s v="OK"/>
    <n v="5.5535317823987977"/>
    <n v="18.842781191742041"/>
    <n v="47.636496885305974"/>
    <n v="52.692307692307693"/>
    <n v="1198.2035151212979"/>
    <n v="12.98203515121298"/>
  </r>
  <r>
    <d v="2025-10-21T00:00:00"/>
    <s v="AD002"/>
    <s v="MBA Admission"/>
    <x v="4"/>
    <s v="21–35 Age"/>
    <n v="134380"/>
    <n v="6252"/>
    <n v="1300"/>
    <n v="685"/>
    <n v="354"/>
    <n v="132525.26"/>
    <n v="2665107.4900000002"/>
    <s v="South India"/>
    <n v="1"/>
    <s v="OK"/>
    <n v="4.6524780473284713"/>
    <n v="20.793346129238643"/>
    <n v="52.692307692307693"/>
    <n v="51.678832116788321"/>
    <n v="1911.0184956437743"/>
    <n v="20.110184956437738"/>
  </r>
  <r>
    <d v="2025-10-22T00:00:00"/>
    <s v="AD002"/>
    <s v="MBA Admission"/>
    <x v="4"/>
    <s v="21–35 Age"/>
    <n v="287916"/>
    <n v="10349"/>
    <n v="1738"/>
    <n v="838"/>
    <n v="398"/>
    <n v="115613.02"/>
    <n v="1867784.24"/>
    <s v="Pan India"/>
    <n v="1"/>
    <s v="OK"/>
    <n v="3.5944511593659261"/>
    <n v="16.793893129770993"/>
    <n v="48.216340621403916"/>
    <n v="47.494033412887823"/>
    <n v="1515.548352599041"/>
    <n v="16.155483525990412"/>
  </r>
  <r>
    <d v="2025-10-23T00:00:00"/>
    <s v="AD002"/>
    <s v="MBA Admission"/>
    <x v="4"/>
    <s v="21–35 Age"/>
    <n v="216575"/>
    <n v="12444"/>
    <n v="2477"/>
    <n v="1587"/>
    <n v="674"/>
    <n v="147196.81"/>
    <n v="4576963.63"/>
    <s v="East India"/>
    <n v="1"/>
    <s v="OK"/>
    <n v="5.7458155373427218"/>
    <n v="19.905175184828032"/>
    <n v="64.069438837303196"/>
    <n v="42.470069313169503"/>
    <n v="3009.4176769184064"/>
    <n v="31.09417676918406"/>
  </r>
  <r>
    <d v="2025-10-24T00:00:00"/>
    <s v="AD002"/>
    <s v="MBA Admission"/>
    <x v="4"/>
    <s v="21–35 Age"/>
    <n v="71172"/>
    <n v="4222"/>
    <n v="908"/>
    <n v="490"/>
    <n v="236"/>
    <n v="46274.85"/>
    <n v="1760206.67"/>
    <s v="North India"/>
    <n v="1"/>
    <s v="OK"/>
    <n v="5.9321081324116225"/>
    <n v="21.506395073424915"/>
    <n v="53.964757709251096"/>
    <n v="48.163265306122447"/>
    <n v="3703.8084834418692"/>
    <n v="38.038084834418697"/>
  </r>
  <r>
    <d v="2025-10-25T00:00:00"/>
    <s v="AD002"/>
    <s v="MBA Admission"/>
    <x v="4"/>
    <s v="21–35 Age"/>
    <n v="198682"/>
    <n v="8609"/>
    <n v="1832"/>
    <n v="1094"/>
    <n v="574"/>
    <n v="80603.11"/>
    <n v="1777848.23"/>
    <s v="South India"/>
    <n v="1"/>
    <s v="OK"/>
    <n v="4.3330548313385213"/>
    <n v="21.2800557556046"/>
    <n v="59.716157205240172"/>
    <n v="52.468007312614262"/>
    <n v="2105.6819271613713"/>
    <n v="22.056819271613712"/>
  </r>
  <r>
    <d v="2025-10-26T00:00:00"/>
    <s v="AD002"/>
    <s v="MBA Admission"/>
    <x v="4"/>
    <s v="21–35 Age"/>
    <n v="87021"/>
    <n v="6502"/>
    <n v="1617"/>
    <n v="998"/>
    <n v="494"/>
    <n v="46482.66"/>
    <n v="2244803.69"/>
    <s v="Pan India"/>
    <n v="1"/>
    <s v="OK"/>
    <n v="7.4717596901897245"/>
    <n v="24.86927099354045"/>
    <n v="61.719233147804573"/>
    <n v="49.498997995991985"/>
    <n v="4729.3356920623719"/>
    <n v="48.293356920623729"/>
  </r>
  <r>
    <d v="2025-10-27T00:00:00"/>
    <s v="AD002"/>
    <s v="MBA Admission"/>
    <x v="4"/>
    <s v="21–35 Age"/>
    <n v="277676"/>
    <n v="18342"/>
    <n v="3757"/>
    <n v="2032"/>
    <n v="1017"/>
    <n v="242232.32000000001"/>
    <n v="5399981.2699999996"/>
    <s v="South India"/>
    <n v="1"/>
    <s v="OK"/>
    <n v="6.6055402699549113"/>
    <n v="20.483044379020825"/>
    <n v="54.085706680862387"/>
    <n v="50.0492125984252"/>
    <n v="2129.2571321613891"/>
    <n v="22.292571321613892"/>
  </r>
  <r>
    <d v="2025-10-28T00:00:00"/>
    <s v="AD002"/>
    <s v="MBA Admission"/>
    <x v="4"/>
    <s v="21–35 Age"/>
    <n v="132019"/>
    <n v="9429"/>
    <n v="2004"/>
    <n v="1029"/>
    <n v="542"/>
    <n v="129503.53"/>
    <n v="3403497"/>
    <s v="West India"/>
    <n v="1"/>
    <s v="OK"/>
    <n v="7.1421537808951747"/>
    <n v="21.25357938275533"/>
    <n v="51.347305389221553"/>
    <n v="52.672497570456756"/>
    <n v="2528.1113727170218"/>
    <n v="26.281113727170219"/>
  </r>
  <r>
    <d v="2025-10-29T00:00:00"/>
    <s v="AD002"/>
    <s v="MBA Admission"/>
    <x v="4"/>
    <s v="21–35 Age"/>
    <n v="89527"/>
    <n v="5616"/>
    <n v="865"/>
    <n v="507"/>
    <n v="215"/>
    <n v="79011.86"/>
    <n v="1224216.24"/>
    <s v="West India"/>
    <n v="1"/>
    <s v="OK"/>
    <n v="6.2729679314620173"/>
    <n v="15.402421652421653"/>
    <n v="58.612716763005778"/>
    <n v="42.406311637080869"/>
    <n v="1449.4082027685461"/>
    <n v="15.494082027685463"/>
  </r>
  <r>
    <d v="2025-10-30T00:00:00"/>
    <s v="AD002"/>
    <s v="MBA Admission"/>
    <x v="4"/>
    <s v="21–35 Age"/>
    <n v="232419"/>
    <n v="17670"/>
    <n v="3031"/>
    <n v="1638"/>
    <n v="975"/>
    <n v="200506.15"/>
    <n v="7007981.2999999998"/>
    <s v="East India"/>
    <n v="1"/>
    <s v="OK"/>
    <n v="7.6026486646960878"/>
    <n v="17.153367289190719"/>
    <n v="54.041570438799077"/>
    <n v="59.523809523809526"/>
    <n v="3395.1453110041762"/>
    <n v="34.951453110041761"/>
  </r>
  <r>
    <d v="2025-10-31T00:00:00"/>
    <s v="AD002"/>
    <s v="MBA Admission"/>
    <x v="4"/>
    <s v="21–35 Age"/>
    <n v="267804"/>
    <n v="19472"/>
    <n v="4863"/>
    <n v="2431"/>
    <n v="1100"/>
    <n v="251059.32"/>
    <n v="6675311.6799999997"/>
    <s v="Pan India"/>
    <n v="1"/>
    <s v="OK"/>
    <n v="7.2709892309300832"/>
    <n v="24.974322103533279"/>
    <n v="49.989718280896568"/>
    <n v="45.248868778280546"/>
    <n v="2558.8583447131136"/>
    <n v="26.588583447131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BDD908-5B52-4A4A-B43E-CE244C0912D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F9" firstHeaderRow="0" firstDataRow="1" firstDataCol="1"/>
  <pivotFields count="21">
    <pivotField numFmtId="164" showAll="0"/>
    <pivotField showAll="0"/>
    <pivotField showAll="0"/>
    <pivotField axis="axisRow" showAll="0">
      <items count="6">
        <item x="4"/>
        <item x="1"/>
        <item x="2"/>
        <item x="3"/>
        <item x="0"/>
        <item t="default"/>
      </items>
    </pivotField>
    <pivotField showAll="0"/>
    <pivotField dataField="1" showAll="0"/>
    <pivotField dataField="1" showAll="0"/>
    <pivotField dataField="1" showAll="0"/>
    <pivotField dataField="1" showAll="0"/>
    <pivotField dataField="1" showAll="0"/>
    <pivotField numFmtId="165" showAll="0"/>
    <pivotField numFmtId="165" showAll="0"/>
    <pivotField showAll="0"/>
    <pivotField showAll="0"/>
    <pivotField showAll="0"/>
    <pivotField numFmtId="2" showAll="0"/>
    <pivotField numFmtId="2" showAll="0"/>
    <pivotField numFmtId="2" showAll="0"/>
    <pivotField numFmtId="2" showAll="0"/>
    <pivotField numFmtId="2" showAll="0"/>
    <pivotField numFmtId="2" showAll="0"/>
  </pivotFields>
  <rowFields count="1">
    <field x="3"/>
  </rowFields>
  <rowItems count="6">
    <i>
      <x/>
    </i>
    <i>
      <x v="1"/>
    </i>
    <i>
      <x v="2"/>
    </i>
    <i>
      <x v="3"/>
    </i>
    <i>
      <x v="4"/>
    </i>
    <i t="grand">
      <x/>
    </i>
  </rowItems>
  <colFields count="1">
    <field x="-2"/>
  </colFields>
  <colItems count="5">
    <i>
      <x/>
    </i>
    <i i="1">
      <x v="1"/>
    </i>
    <i i="2">
      <x v="2"/>
    </i>
    <i i="3">
      <x v="3"/>
    </i>
    <i i="4">
      <x v="4"/>
    </i>
  </colItems>
  <dataFields count="5">
    <dataField name="Sum of Impressions" fld="5" baseField="0" baseItem="0"/>
    <dataField name="Sum of Clicks" fld="6" baseField="0" baseItem="0"/>
    <dataField name="Sum of Leads" fld="7" baseField="0" baseItem="0"/>
    <dataField name="Sum of Applications" fld="8" baseField="0" baseItem="0"/>
    <dataField name="Sum of Enrollments" fld="9" baseField="0" baseItem="0"/>
  </dataFields>
  <formats count="4">
    <format dxfId="0">
      <pivotArea collapsedLevelsAreSubtotals="1" fieldPosition="0">
        <references count="2">
          <reference field="4294967294" count="1" selected="0">
            <x v="4"/>
          </reference>
          <reference field="3" count="0"/>
        </references>
      </pivotArea>
    </format>
    <format dxfId="1">
      <pivotArea collapsedLevelsAreSubtotals="1" fieldPosition="0">
        <references count="2">
          <reference field="4294967294" count="1" selected="0">
            <x v="3"/>
          </reference>
          <reference field="3" count="0"/>
        </references>
      </pivotArea>
    </format>
    <format dxfId="2">
      <pivotArea outline="0" collapsedLevelsAreSubtotals="1" fieldPosition="0"/>
    </format>
    <format dxfId="3">
      <pivotArea dataOnly="0" labelOnly="1" outline="0" fieldPosition="0">
        <references count="1">
          <reference field="4294967294" count="5">
            <x v="0"/>
            <x v="1"/>
            <x v="2"/>
            <x v="3"/>
            <x v="4"/>
          </reference>
        </references>
      </pivotArea>
    </format>
  </formats>
  <chartFormats count="25">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0" format="3" series="1">
      <pivotArea type="data" outline="0" fieldPosition="0">
        <references count="1">
          <reference field="4294967294" count="1" selected="0">
            <x v="3"/>
          </reference>
        </references>
      </pivotArea>
    </chartFormat>
    <chartFormat chart="20" format="4" series="1">
      <pivotArea type="data" outline="0" fieldPosition="0">
        <references count="1">
          <reference field="4294967294" count="1" selected="0">
            <x v="4"/>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2" format="3" series="1">
      <pivotArea type="data" outline="0" fieldPosition="0">
        <references count="1">
          <reference field="4294967294" count="1" selected="0">
            <x v="3"/>
          </reference>
        </references>
      </pivotArea>
    </chartFormat>
    <chartFormat chart="22" format="4" series="1">
      <pivotArea type="data" outline="0" fieldPosition="0">
        <references count="1">
          <reference field="4294967294" count="1" selected="0">
            <x v="4"/>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2" series="1">
      <pivotArea type="data" outline="0" fieldPosition="0">
        <references count="1">
          <reference field="4294967294" count="1" selected="0">
            <x v="2"/>
          </reference>
        </references>
      </pivotArea>
    </chartFormat>
    <chartFormat chart="31" format="3" series="1">
      <pivotArea type="data" outline="0" fieldPosition="0">
        <references count="1">
          <reference field="4294967294" count="1" selected="0">
            <x v="3"/>
          </reference>
        </references>
      </pivotArea>
    </chartFormat>
    <chartFormat chart="31" format="4" series="1">
      <pivotArea type="data" outline="0" fieldPosition="0">
        <references count="1">
          <reference field="4294967294" count="1" selected="0">
            <x v="4"/>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2"/>
          </reference>
        </references>
      </pivotArea>
    </chartFormat>
    <chartFormat chart="34" format="3" series="1">
      <pivotArea type="data" outline="0" fieldPosition="0">
        <references count="1">
          <reference field="4294967294" count="1" selected="0">
            <x v="3"/>
          </reference>
        </references>
      </pivotArea>
    </chartFormat>
    <chartFormat chart="34" format="4" series="1">
      <pivotArea type="data" outline="0" fieldPosition="0">
        <references count="1">
          <reference field="4294967294" count="1" selected="0">
            <x v="4"/>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8" format="2" series="1">
      <pivotArea type="data" outline="0" fieldPosition="0">
        <references count="1">
          <reference field="4294967294" count="1" selected="0">
            <x v="2"/>
          </reference>
        </references>
      </pivotArea>
    </chartFormat>
    <chartFormat chart="38" format="3" series="1">
      <pivotArea type="data" outline="0" fieldPosition="0">
        <references count="1">
          <reference field="4294967294" count="1" selected="0">
            <x v="3"/>
          </reference>
        </references>
      </pivotArea>
    </chartFormat>
    <chartFormat chart="38"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B9693-B69F-4AD6-8E9C-916CF49975EB}">
  <dimension ref="A1:R9"/>
  <sheetViews>
    <sheetView topLeftCell="B1" zoomScale="78" zoomScaleNormal="72" workbookViewId="0">
      <pane ySplit="3" topLeftCell="A4" activePane="bottomLeft" state="frozen"/>
      <selection pane="bottomLeft" activeCell="K29" sqref="K29"/>
    </sheetView>
  </sheetViews>
  <sheetFormatPr defaultRowHeight="14.4" x14ac:dyDescent="0.3"/>
  <cols>
    <col min="1" max="1" width="13.109375" bestFit="1" customWidth="1"/>
    <col min="2" max="2" width="19.33203125" bestFit="1" customWidth="1"/>
    <col min="3" max="3" width="13.6640625" bestFit="1" customWidth="1"/>
    <col min="4" max="4" width="13.77734375" bestFit="1" customWidth="1"/>
    <col min="5" max="5" width="19.6640625" bestFit="1" customWidth="1"/>
    <col min="6" max="6" width="19.33203125" bestFit="1" customWidth="1"/>
    <col min="7" max="7" width="18.33203125" bestFit="1" customWidth="1"/>
    <col min="8" max="8" width="17.77734375" bestFit="1" customWidth="1"/>
    <col min="10" max="10" width="7.77734375" bestFit="1" customWidth="1"/>
    <col min="11" max="11" width="16" bestFit="1" customWidth="1"/>
    <col min="12" max="12" width="22" bestFit="1" customWidth="1"/>
    <col min="13" max="13" width="27.6640625" bestFit="1" customWidth="1"/>
    <col min="14" max="14" width="7.88671875" bestFit="1" customWidth="1"/>
    <col min="15" max="15" width="12.44140625" bestFit="1" customWidth="1"/>
    <col min="16" max="16" width="18" bestFit="1" customWidth="1"/>
    <col min="17" max="17" width="13.88671875" bestFit="1" customWidth="1"/>
    <col min="18" max="18" width="17.33203125" customWidth="1"/>
  </cols>
  <sheetData>
    <row r="1" spans="1:18" ht="23.4" x14ac:dyDescent="0.45">
      <c r="A1" s="13" t="s">
        <v>108</v>
      </c>
      <c r="B1" s="13"/>
      <c r="C1" s="13"/>
      <c r="D1" s="13"/>
      <c r="E1" s="13"/>
      <c r="F1" s="13"/>
      <c r="G1" s="13"/>
      <c r="H1" s="13"/>
      <c r="I1" s="13"/>
      <c r="J1" s="13"/>
      <c r="K1" s="13"/>
      <c r="L1" s="13"/>
      <c r="M1" s="13"/>
      <c r="N1" s="13"/>
      <c r="O1" s="13"/>
      <c r="P1" s="13"/>
      <c r="Q1" s="13"/>
      <c r="R1" s="13"/>
    </row>
    <row r="3" spans="1:18" x14ac:dyDescent="0.3">
      <c r="A3" s="8" t="s">
        <v>95</v>
      </c>
      <c r="B3" s="10" t="s">
        <v>97</v>
      </c>
      <c r="C3" s="10" t="s">
        <v>98</v>
      </c>
      <c r="D3" s="10" t="s">
        <v>99</v>
      </c>
      <c r="E3" s="10" t="s">
        <v>100</v>
      </c>
      <c r="F3" s="10" t="s">
        <v>101</v>
      </c>
      <c r="J3" s="7" t="s">
        <v>89</v>
      </c>
      <c r="K3" s="7" t="s">
        <v>102</v>
      </c>
      <c r="L3" s="7" t="s">
        <v>103</v>
      </c>
      <c r="M3" s="7" t="s">
        <v>104</v>
      </c>
      <c r="N3" s="7" t="s">
        <v>93</v>
      </c>
      <c r="O3" s="7" t="s">
        <v>94</v>
      </c>
      <c r="P3" s="7" t="s">
        <v>105</v>
      </c>
      <c r="Q3" s="7" t="s">
        <v>106</v>
      </c>
      <c r="R3" s="7" t="s">
        <v>107</v>
      </c>
    </row>
    <row r="4" spans="1:18" x14ac:dyDescent="0.3">
      <c r="A4" s="9" t="s">
        <v>24</v>
      </c>
      <c r="B4" s="10">
        <v>31329302</v>
      </c>
      <c r="C4" s="10">
        <v>1740443</v>
      </c>
      <c r="D4" s="10">
        <v>350452</v>
      </c>
      <c r="E4" s="10">
        <v>191054</v>
      </c>
      <c r="F4" s="10">
        <v>94199</v>
      </c>
      <c r="J4" s="6">
        <f>C4/B4*100</f>
        <v>5.5553200642644383</v>
      </c>
      <c r="K4" s="6">
        <f>D4/C4*100</f>
        <v>20.135793013617796</v>
      </c>
      <c r="L4" s="6">
        <f>E4/D4*100</f>
        <v>54.516453037791187</v>
      </c>
      <c r="M4" s="6">
        <f>F4/E4*100</f>
        <v>49.304908559883593</v>
      </c>
      <c r="N4" s="11">
        <f>IFERROR((SUMIF(CampaignPerformance!$D$2:$D$1000,$A4,CampaignPerformance!$L$2:$L$1000)-Q4)/Q4*100,0)</f>
        <v>2245.7814040696162</v>
      </c>
      <c r="O4" s="6">
        <f>IFERROR(SUMIF(CampaignPerformance!$D$2:$D$1000,$A4,CampaignPerformance!$L$2:$L$1000)/Q4,0)</f>
        <v>23.45781404069616</v>
      </c>
      <c r="P4" s="12">
        <f>SUMIF(CampaignMeta!I:I,A4,CampaignMeta!E:E)</f>
        <v>1500000</v>
      </c>
      <c r="Q4" s="4">
        <f>SUMIF(CampaignPerformance!$D$2:$D$1000,$A4,CampaignPerformance!$K$2:$K$1000)</f>
        <v>22051324.43</v>
      </c>
      <c r="R4" s="11">
        <f>IFERROR((Q4-P4)/P4*100,0)</f>
        <v>1370.0882953333332</v>
      </c>
    </row>
    <row r="5" spans="1:18" x14ac:dyDescent="0.3">
      <c r="A5" s="9" t="s">
        <v>23</v>
      </c>
      <c r="B5" s="10">
        <v>31963554</v>
      </c>
      <c r="C5" s="10">
        <v>1751859</v>
      </c>
      <c r="D5" s="10">
        <v>346441</v>
      </c>
      <c r="E5" s="10">
        <v>190327</v>
      </c>
      <c r="F5" s="10">
        <v>95402</v>
      </c>
      <c r="J5" s="6">
        <f t="shared" ref="J5:J8" si="0">C5/B5*100</f>
        <v>5.480801665546954</v>
      </c>
      <c r="K5" s="6">
        <f t="shared" ref="K5:K8" si="1">D5/C5*100</f>
        <v>19.775621211524445</v>
      </c>
      <c r="L5" s="6">
        <f t="shared" ref="L5:L8" si="2">E5/D5*100</f>
        <v>54.937781613608095</v>
      </c>
      <c r="M5" s="6">
        <f t="shared" ref="M5:M8" si="3">F5/E5*100</f>
        <v>50.125310649566266</v>
      </c>
      <c r="N5" s="11">
        <f>IFERROR((SUMIF(CampaignPerformance!$D$2:$D$1000,$A5,CampaignPerformance!$L$2:$L$1000)-Q5)/Q5*100,0)</f>
        <v>2197.1404931517154</v>
      </c>
      <c r="O5" s="6">
        <f>IFERROR(SUMIF(CampaignPerformance!$D$2:$D$1000,$A5,CampaignPerformance!$L$2:$L$1000)/Q5,0)</f>
        <v>22.971404931517156</v>
      </c>
      <c r="P5" s="12">
        <f>SUMIF(CampaignMeta!I:I,A5,CampaignMeta!E:E)</f>
        <v>1800000</v>
      </c>
      <c r="Q5" s="4">
        <f>SUMIF(CampaignPerformance!$D$2:$D$1000,$A5,CampaignPerformance!$K$2:$K$1000)</f>
        <v>23158075.680000015</v>
      </c>
      <c r="R5" s="11">
        <f t="shared" ref="R5:R8" si="4">IFERROR((Q5-P5)/P5*100,0)</f>
        <v>1186.5597600000008</v>
      </c>
    </row>
    <row r="6" spans="1:18" x14ac:dyDescent="0.3">
      <c r="A6" s="9" t="s">
        <v>27</v>
      </c>
      <c r="B6" s="10">
        <v>24699279</v>
      </c>
      <c r="C6" s="10">
        <v>1347998</v>
      </c>
      <c r="D6" s="10">
        <v>270522</v>
      </c>
      <c r="E6" s="10">
        <v>148302</v>
      </c>
      <c r="F6" s="10">
        <v>75249</v>
      </c>
      <c r="J6" s="6">
        <f t="shared" si="0"/>
        <v>5.4576410914666775</v>
      </c>
      <c r="K6" s="6">
        <f t="shared" si="1"/>
        <v>20.068427401227598</v>
      </c>
      <c r="L6" s="6">
        <f t="shared" si="2"/>
        <v>54.820680018630654</v>
      </c>
      <c r="M6" s="6">
        <f t="shared" si="3"/>
        <v>50.740381114212887</v>
      </c>
      <c r="N6" s="11">
        <f>IFERROR((SUMIF(CampaignPerformance!$D$2:$D$1000,$A6,CampaignPerformance!$L$2:$L$1000)-Q6)/Q6*100,0)</f>
        <v>2300.7736449112122</v>
      </c>
      <c r="O6" s="6">
        <f>IFERROR(SUMIF(CampaignPerformance!$D$2:$D$1000,$A6,CampaignPerformance!$L$2:$L$1000)/Q6,0)</f>
        <v>24.007736449112119</v>
      </c>
      <c r="P6" s="12">
        <f>SUMIF(CampaignMeta!I:I,A6,CampaignMeta!E:E)</f>
        <v>1200000</v>
      </c>
      <c r="Q6" s="4">
        <f>SUMIF(CampaignPerformance!$D$2:$D$1000,$A6,CampaignPerformance!$K$2:$K$1000)</f>
        <v>17285042.280000009</v>
      </c>
      <c r="R6" s="11">
        <f t="shared" si="4"/>
        <v>1340.4201900000007</v>
      </c>
    </row>
    <row r="7" spans="1:18" x14ac:dyDescent="0.3">
      <c r="A7" s="9" t="s">
        <v>25</v>
      </c>
      <c r="B7" s="10">
        <v>26146791</v>
      </c>
      <c r="C7" s="10">
        <v>1460099</v>
      </c>
      <c r="D7" s="10">
        <v>292161</v>
      </c>
      <c r="E7" s="10">
        <v>163739</v>
      </c>
      <c r="F7" s="10">
        <v>83522</v>
      </c>
      <c r="J7" s="6">
        <f t="shared" si="0"/>
        <v>5.5842378515971616</v>
      </c>
      <c r="K7" s="6">
        <f t="shared" si="1"/>
        <v>20.009670577132098</v>
      </c>
      <c r="L7" s="6">
        <f t="shared" si="2"/>
        <v>56.044098972826632</v>
      </c>
      <c r="M7" s="6">
        <f t="shared" si="3"/>
        <v>51.00922810081898</v>
      </c>
      <c r="N7" s="11">
        <f>IFERROR((SUMIF(CampaignPerformance!$D$2:$D$1000,$A7,CampaignPerformance!$L$2:$L$1000)-Q7)/Q7*100,0)</f>
        <v>2444.5563987942041</v>
      </c>
      <c r="O7" s="6">
        <f>IFERROR(SUMIF(CampaignPerformance!$D$2:$D$1000,$A7,CampaignPerformance!$L$2:$L$1000)/Q7,0)</f>
        <v>25.445563987942041</v>
      </c>
      <c r="P7" s="12">
        <f>SUMIF(CampaignMeta!I:I,A7,CampaignMeta!E:E)</f>
        <v>1000000</v>
      </c>
      <c r="Q7" s="4">
        <f>SUMIF(CampaignPerformance!$D$2:$D$1000,$A7,CampaignPerformance!$K$2:$K$1000)</f>
        <v>18258974.939999998</v>
      </c>
      <c r="R7" s="11">
        <f t="shared" si="4"/>
        <v>1725.8974939999998</v>
      </c>
    </row>
    <row r="8" spans="1:18" x14ac:dyDescent="0.3">
      <c r="A8" s="9" t="s">
        <v>26</v>
      </c>
      <c r="B8" s="10">
        <v>15019263</v>
      </c>
      <c r="C8" s="10">
        <v>838013</v>
      </c>
      <c r="D8" s="10">
        <v>161708</v>
      </c>
      <c r="E8" s="10">
        <v>90194</v>
      </c>
      <c r="F8" s="10">
        <v>43942</v>
      </c>
      <c r="J8" s="6">
        <f t="shared" si="0"/>
        <v>5.5795880263898434</v>
      </c>
      <c r="K8" s="6">
        <f t="shared" si="1"/>
        <v>19.296598024135665</v>
      </c>
      <c r="L8" s="6">
        <f t="shared" si="2"/>
        <v>55.775842877284987</v>
      </c>
      <c r="M8" s="6">
        <f t="shared" si="3"/>
        <v>48.719427012883344</v>
      </c>
      <c r="N8" s="11">
        <f>IFERROR((SUMIF(CampaignPerformance!$D$2:$D$1000,$A8,CampaignPerformance!$L$2:$L$1000)-Q8)/Q8*100,0)</f>
        <v>2112.5745655994569</v>
      </c>
      <c r="O8" s="6">
        <f>IFERROR(SUMIF(CampaignPerformance!$D$2:$D$1000,$A8,CampaignPerformance!$L$2:$L$1000)/Q8,0)</f>
        <v>22.125745655994571</v>
      </c>
      <c r="P8" s="12">
        <f>SUMIF(CampaignMeta!I:I,A8,CampaignMeta!E:E)</f>
        <v>800000</v>
      </c>
      <c r="Q8" s="4">
        <f>SUMIF(CampaignPerformance!$D$2:$D$1000,$A8,CampaignPerformance!$K$2:$K$1000)</f>
        <v>10694713.860000003</v>
      </c>
      <c r="R8" s="11">
        <f t="shared" si="4"/>
        <v>1236.8392325000004</v>
      </c>
    </row>
    <row r="9" spans="1:18" x14ac:dyDescent="0.3">
      <c r="A9" s="9" t="s">
        <v>96</v>
      </c>
      <c r="B9" s="10">
        <v>129158189</v>
      </c>
      <c r="C9" s="10">
        <v>7138412</v>
      </c>
      <c r="D9" s="10">
        <v>1421284</v>
      </c>
      <c r="E9" s="10">
        <v>783616</v>
      </c>
      <c r="F9" s="10">
        <v>392314</v>
      </c>
      <c r="N9" s="11">
        <f>IFERROR((SUM(CampaignPerformance!L2:L764)-Q9)/Q9*100,0)</f>
        <v>2267.9681006283863</v>
      </c>
      <c r="O9">
        <f>IFERROR(SUM(CampaignPerformance!L2:L764)/Q9,0)</f>
        <v>23.679681006283865</v>
      </c>
      <c r="P9" s="12">
        <f>SUM(P4:P8)</f>
        <v>6300000</v>
      </c>
      <c r="Q9" s="4">
        <f>SUM(Q4:Q8)</f>
        <v>91448131.190000013</v>
      </c>
      <c r="R9" s="11">
        <f>IFERROR((Q9-P9)/P9*100,0)</f>
        <v>1351.5576379365082</v>
      </c>
    </row>
  </sheetData>
  <mergeCells count="1">
    <mergeCell ref="A1:R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F211-B81E-40C1-80BA-6D5D53468D27}">
  <dimension ref="A1:AU16"/>
  <sheetViews>
    <sheetView tabSelected="1" workbookViewId="0"/>
  </sheetViews>
  <sheetFormatPr defaultRowHeight="14.4" x14ac:dyDescent="0.3"/>
  <cols>
    <col min="1" max="1" width="55.77734375" customWidth="1"/>
  </cols>
  <sheetData>
    <row r="1" spans="1:47" ht="21" x14ac:dyDescent="0.4">
      <c r="A1" s="16" t="s">
        <v>109</v>
      </c>
      <c r="B1" s="16"/>
      <c r="C1" s="16"/>
      <c r="D1" s="16"/>
      <c r="E1" s="16"/>
      <c r="F1" s="16"/>
      <c r="G1" s="16"/>
      <c r="H1" s="16"/>
      <c r="I1" s="16"/>
      <c r="J1" s="16"/>
      <c r="K1" s="16"/>
      <c r="L1" s="16"/>
      <c r="M1" s="16"/>
      <c r="N1" s="16"/>
      <c r="O1" s="16"/>
      <c r="P1" s="16"/>
      <c r="Q1" s="16"/>
      <c r="R1" s="16"/>
      <c r="S1" s="16"/>
      <c r="T1" s="16"/>
      <c r="U1" s="16"/>
      <c r="V1" s="16"/>
      <c r="W1" s="16"/>
      <c r="X1" s="16"/>
      <c r="Y1" s="16"/>
      <c r="Z1" s="16"/>
      <c r="AA1" s="16"/>
      <c r="AB1" s="16"/>
    </row>
    <row r="3" spans="1:47" ht="15.6" x14ac:dyDescent="0.3">
      <c r="A3" s="14" t="s">
        <v>36</v>
      </c>
    </row>
    <row r="4" spans="1:47" ht="43.2" x14ac:dyDescent="0.3">
      <c r="A4" s="15" t="s">
        <v>110</v>
      </c>
      <c r="B4" s="15"/>
      <c r="C4" s="15"/>
      <c r="D4" s="15"/>
      <c r="E4" s="15"/>
      <c r="F4" s="15"/>
      <c r="G4" s="15"/>
      <c r="H4" s="15"/>
      <c r="I4" s="15"/>
      <c r="J4" s="15"/>
      <c r="K4" s="15"/>
      <c r="L4" s="15"/>
      <c r="M4" s="15"/>
      <c r="N4" s="15"/>
      <c r="O4" s="15"/>
      <c r="P4" s="15"/>
      <c r="Q4" s="15"/>
      <c r="R4" s="15"/>
      <c r="S4" s="15"/>
      <c r="T4" s="15"/>
      <c r="U4" s="15"/>
      <c r="V4" s="15"/>
      <c r="W4" s="15"/>
    </row>
    <row r="6" spans="1:47" ht="15.6" x14ac:dyDescent="0.3">
      <c r="A6" s="14" t="s">
        <v>111</v>
      </c>
    </row>
    <row r="7" spans="1:47" ht="28.8" x14ac:dyDescent="0.3">
      <c r="A7" s="15" t="s">
        <v>112</v>
      </c>
      <c r="B7" s="15"/>
      <c r="C7" s="15"/>
      <c r="D7" s="15"/>
      <c r="E7" s="15"/>
      <c r="F7" s="15"/>
      <c r="G7" s="15"/>
      <c r="H7" s="15"/>
      <c r="I7" s="15"/>
      <c r="J7" s="15"/>
      <c r="K7" s="15"/>
      <c r="L7" s="15"/>
      <c r="M7" s="15"/>
      <c r="N7" s="15"/>
      <c r="O7" s="15"/>
      <c r="P7" s="15"/>
      <c r="Q7" s="15"/>
    </row>
    <row r="9" spans="1:47" ht="15.6" x14ac:dyDescent="0.3">
      <c r="A9" s="14" t="s">
        <v>113</v>
      </c>
      <c r="B9" s="7"/>
    </row>
    <row r="10" spans="1:47" ht="28.8" x14ac:dyDescent="0.3">
      <c r="A10" s="15" t="s">
        <v>114</v>
      </c>
      <c r="B10" s="15"/>
      <c r="C10" s="15"/>
      <c r="D10" s="15"/>
      <c r="E10" s="15"/>
      <c r="F10" s="15"/>
      <c r="G10" s="15"/>
      <c r="H10" s="15"/>
      <c r="I10" s="15"/>
      <c r="J10" s="15"/>
      <c r="K10" s="15"/>
      <c r="L10" s="15"/>
      <c r="M10" s="15"/>
      <c r="N10" s="15"/>
      <c r="O10" s="15"/>
    </row>
    <row r="12" spans="1:47" ht="15.6" x14ac:dyDescent="0.3">
      <c r="A12" s="14" t="s">
        <v>115</v>
      </c>
    </row>
    <row r="13" spans="1:47" ht="57.6" x14ac:dyDescent="0.3">
      <c r="A13" s="15" t="s">
        <v>116</v>
      </c>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row>
    <row r="15" spans="1:47" ht="15.6" x14ac:dyDescent="0.3">
      <c r="A15" s="14" t="s">
        <v>117</v>
      </c>
    </row>
    <row r="16" spans="1:47" ht="86.4" x14ac:dyDescent="0.3">
      <c r="A16" s="15" t="s">
        <v>118</v>
      </c>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5EC2-D149-47F5-8DD3-2EFC205D7FD2}">
  <dimension ref="A1:B6"/>
  <sheetViews>
    <sheetView workbookViewId="0">
      <selection activeCell="G22" sqref="G22"/>
    </sheetView>
  </sheetViews>
  <sheetFormatPr defaultRowHeight="14.4" x14ac:dyDescent="0.3"/>
  <sheetData>
    <row r="1" spans="1:2" x14ac:dyDescent="0.3">
      <c r="A1" t="s">
        <v>3</v>
      </c>
      <c r="B1" t="s">
        <v>93</v>
      </c>
    </row>
    <row r="2" spans="1:2" x14ac:dyDescent="0.3">
      <c r="A2" t="s">
        <v>24</v>
      </c>
      <c r="B2" s="6">
        <f>'Marketing Campaign Performance '!N4</f>
        <v>2245.7814040696162</v>
      </c>
    </row>
    <row r="3" spans="1:2" x14ac:dyDescent="0.3">
      <c r="A3" t="s">
        <v>23</v>
      </c>
      <c r="B3" s="6">
        <f>'Marketing Campaign Performance '!N5</f>
        <v>2197.1404931517154</v>
      </c>
    </row>
    <row r="4" spans="1:2" x14ac:dyDescent="0.3">
      <c r="A4" t="s">
        <v>27</v>
      </c>
      <c r="B4" s="6">
        <f>'Marketing Campaign Performance '!N6</f>
        <v>2300.7736449112122</v>
      </c>
    </row>
    <row r="5" spans="1:2" x14ac:dyDescent="0.3">
      <c r="A5" t="s">
        <v>25</v>
      </c>
      <c r="B5" s="6">
        <f>'Marketing Campaign Performance '!N7</f>
        <v>2444.5563987942041</v>
      </c>
    </row>
    <row r="6" spans="1:2" x14ac:dyDescent="0.3">
      <c r="A6" t="s">
        <v>26</v>
      </c>
      <c r="B6" s="6">
        <f>'Marketing Campaign Performance '!N8</f>
        <v>2112.5745655994569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68"/>
  <sheetViews>
    <sheetView zoomScale="80" workbookViewId="0">
      <pane ySplit="1" topLeftCell="A2" activePane="bottomLeft" state="frozen"/>
      <selection pane="bottomLeft" activeCell="A2" sqref="A2"/>
    </sheetView>
  </sheetViews>
  <sheetFormatPr defaultRowHeight="14.4" x14ac:dyDescent="0.3"/>
  <cols>
    <col min="1" max="1" width="10.33203125" bestFit="1" customWidth="1"/>
    <col min="2" max="2" width="15.6640625" bestFit="1" customWidth="1"/>
    <col min="3" max="3" width="24.33203125" bestFit="1" customWidth="1"/>
    <col min="4" max="4" width="12.77734375" bestFit="1" customWidth="1"/>
    <col min="5" max="5" width="18.77734375" bestFit="1" customWidth="1"/>
    <col min="6" max="6" width="15.44140625" bestFit="1" customWidth="1"/>
    <col min="7" max="7" width="10.109375" bestFit="1" customWidth="1"/>
    <col min="8" max="8" width="10.21875" bestFit="1" customWidth="1"/>
    <col min="9" max="9" width="15.77734375" bestFit="1" customWidth="1"/>
    <col min="10" max="10" width="15.44140625" bestFit="1" customWidth="1"/>
    <col min="11" max="11" width="11.88671875" style="4" bestFit="1" customWidth="1"/>
    <col min="12" max="12" width="15.5546875" style="4" bestFit="1" customWidth="1"/>
    <col min="13" max="13" width="11.21875" bestFit="1" customWidth="1"/>
    <col min="14" max="14" width="16.21875" customWidth="1"/>
    <col min="15" max="15" width="13.77734375" customWidth="1"/>
    <col min="16" max="16" width="9.77734375" customWidth="1"/>
    <col min="17" max="17" width="20" customWidth="1"/>
    <col min="18" max="18" width="26.44140625" customWidth="1"/>
    <col min="19" max="19" width="31.77734375" customWidth="1"/>
    <col min="20" max="20" width="11" customWidth="1"/>
  </cols>
  <sheetData>
    <row r="1" spans="1:21" x14ac:dyDescent="0.3">
      <c r="A1" s="1" t="s">
        <v>0</v>
      </c>
      <c r="B1" s="1" t="s">
        <v>1</v>
      </c>
      <c r="C1" s="1" t="s">
        <v>2</v>
      </c>
      <c r="D1" s="1" t="s">
        <v>3</v>
      </c>
      <c r="E1" s="1" t="s">
        <v>4</v>
      </c>
      <c r="F1" s="1" t="s">
        <v>5</v>
      </c>
      <c r="G1" s="1" t="s">
        <v>6</v>
      </c>
      <c r="H1" s="1" t="s">
        <v>7</v>
      </c>
      <c r="I1" s="1" t="s">
        <v>8</v>
      </c>
      <c r="J1" s="1" t="s">
        <v>9</v>
      </c>
      <c r="K1" s="3" t="s">
        <v>10</v>
      </c>
      <c r="L1" s="3" t="s">
        <v>11</v>
      </c>
      <c r="M1" s="1" t="s">
        <v>12</v>
      </c>
      <c r="N1" s="5" t="s">
        <v>87</v>
      </c>
      <c r="O1" s="7" t="s">
        <v>88</v>
      </c>
      <c r="P1" s="7" t="s">
        <v>89</v>
      </c>
      <c r="Q1" s="7" t="s">
        <v>90</v>
      </c>
      <c r="R1" s="7" t="s">
        <v>91</v>
      </c>
      <c r="S1" s="7" t="s">
        <v>92</v>
      </c>
      <c r="T1" s="7" t="s">
        <v>93</v>
      </c>
      <c r="U1" s="7" t="s">
        <v>94</v>
      </c>
    </row>
    <row r="2" spans="1:21" x14ac:dyDescent="0.3">
      <c r="A2" s="2">
        <v>45292</v>
      </c>
      <c r="B2" t="s">
        <v>16</v>
      </c>
      <c r="C2" t="s">
        <v>21</v>
      </c>
      <c r="D2" t="s">
        <v>26</v>
      </c>
      <c r="E2" t="s">
        <v>29</v>
      </c>
      <c r="F2">
        <v>285708</v>
      </c>
      <c r="G2">
        <v>16956</v>
      </c>
      <c r="H2">
        <v>4087</v>
      </c>
      <c r="I2">
        <v>2547</v>
      </c>
      <c r="J2">
        <v>1148</v>
      </c>
      <c r="K2" s="4">
        <v>275457.87</v>
      </c>
      <c r="L2" s="4">
        <v>4615838.04</v>
      </c>
      <c r="M2" t="s">
        <v>34</v>
      </c>
      <c r="N2">
        <f>COUNTIFS(A:A,A2,B:B,B2,C:C,C2,D:D,D2,E:E,E2,F:F,F2,G:G,G2,H:H,H2,I:I,I2,J:J,J2,K:K,K2,L:L,L2,M:M,M2)</f>
        <v>1</v>
      </c>
      <c r="O2" t="str">
        <f>IF(AND(G2&lt;=F2,H2&lt;=G2,I2&lt;=H2,J2&lt;=I2),"OK","Check")</f>
        <v>OK</v>
      </c>
      <c r="P2" s="6">
        <f>IFERROR(G2/F2*100,0)</f>
        <v>5.9347305640724093</v>
      </c>
      <c r="Q2" s="6">
        <f>IFERROR(H2/G2*100,0)</f>
        <v>24.103562160887002</v>
      </c>
      <c r="R2" s="6">
        <f>IFERROR(I2/H2*100,0)</f>
        <v>62.319549792023487</v>
      </c>
      <c r="S2" s="6">
        <f>IFERROR(J2/I2*100,0)</f>
        <v>45.072634471927756</v>
      </c>
      <c r="T2" s="6">
        <f>IFERROR((L2-K2)/K2*100,0)</f>
        <v>1575.6965557019664</v>
      </c>
      <c r="U2" s="6">
        <f>IFERROR(L2/K2,0)</f>
        <v>16.756965557019665</v>
      </c>
    </row>
    <row r="3" spans="1:21" x14ac:dyDescent="0.3">
      <c r="A3" s="2">
        <v>45293</v>
      </c>
      <c r="B3" t="s">
        <v>16</v>
      </c>
      <c r="C3" t="s">
        <v>21</v>
      </c>
      <c r="D3" t="s">
        <v>26</v>
      </c>
      <c r="E3" t="s">
        <v>29</v>
      </c>
      <c r="F3">
        <v>140449</v>
      </c>
      <c r="G3">
        <v>10082</v>
      </c>
      <c r="H3">
        <v>1815</v>
      </c>
      <c r="I3">
        <v>951</v>
      </c>
      <c r="J3">
        <v>565</v>
      </c>
      <c r="K3" s="4">
        <v>133025.85999999999</v>
      </c>
      <c r="L3" s="4">
        <v>3513169.9</v>
      </c>
      <c r="M3" t="s">
        <v>33</v>
      </c>
      <c r="N3">
        <f t="shared" ref="N3:N66" si="0">COUNTIFS(A:A,A3,B:B,B3,C:C,C3,D:D,D3,E:E,E3,F:F,F3,G:G,G3,H:H,H3,I:I,I3,J:J,J3,K:K,K3,L:L,L3,M:M,M3)</f>
        <v>1</v>
      </c>
      <c r="O3" t="str">
        <f>IF(AND(G3&lt;=F3,H3&lt;=G3,I3&lt;=H3,J3&lt;=I3),"OK","Check")</f>
        <v>OK</v>
      </c>
      <c r="P3" s="6">
        <f t="shared" ref="P3:P66" si="1">IFERROR(G3/F3*100,0)</f>
        <v>7.1784063966279579</v>
      </c>
      <c r="Q3" s="6">
        <f t="shared" ref="Q3:Q66" si="2">IFERROR(H3/G3*100,0)</f>
        <v>18.002380480063479</v>
      </c>
      <c r="R3" s="6">
        <f t="shared" ref="R3:R66" si="3">IFERROR(I3/H3*100,0)</f>
        <v>52.396694214876035</v>
      </c>
      <c r="S3" s="6">
        <f t="shared" ref="S3:S66" si="4">IFERROR(J3/I3*100,0)</f>
        <v>59.411146161934802</v>
      </c>
      <c r="T3" s="6">
        <f t="shared" ref="T3:T66" si="5">IFERROR((L3-K3)/K3*100,0)</f>
        <v>2540.9676283994709</v>
      </c>
      <c r="U3" s="6">
        <f t="shared" ref="U3:U66" si="6">IFERROR(L3/K3,0)</f>
        <v>26.40967628399471</v>
      </c>
    </row>
    <row r="4" spans="1:21" x14ac:dyDescent="0.3">
      <c r="A4" s="2">
        <v>45294</v>
      </c>
      <c r="B4" t="s">
        <v>16</v>
      </c>
      <c r="C4" t="s">
        <v>21</v>
      </c>
      <c r="D4" t="s">
        <v>26</v>
      </c>
      <c r="E4" t="s">
        <v>29</v>
      </c>
      <c r="F4">
        <v>140958</v>
      </c>
      <c r="G4">
        <v>7474</v>
      </c>
      <c r="H4">
        <v>1169</v>
      </c>
      <c r="I4">
        <v>683</v>
      </c>
      <c r="J4">
        <v>343</v>
      </c>
      <c r="K4" s="4">
        <v>135765.60999999999</v>
      </c>
      <c r="L4" s="4">
        <v>1051924.8799999999</v>
      </c>
      <c r="M4" t="s">
        <v>33</v>
      </c>
      <c r="N4">
        <f t="shared" si="0"/>
        <v>1</v>
      </c>
      <c r="O4" t="str">
        <f>IF(AND(G4&lt;=F4,H4&lt;=G4,I4&lt;=H4,J4&lt;=I4),"OK","Check")</f>
        <v>OK</v>
      </c>
      <c r="P4" s="6">
        <f t="shared" si="1"/>
        <v>5.3022886249804904</v>
      </c>
      <c r="Q4" s="6">
        <f t="shared" si="2"/>
        <v>15.640888413165641</v>
      </c>
      <c r="R4" s="6">
        <f t="shared" si="3"/>
        <v>58.42600513259196</v>
      </c>
      <c r="S4" s="6">
        <f t="shared" si="4"/>
        <v>50.219619326500734</v>
      </c>
      <c r="T4" s="6">
        <f t="shared" si="5"/>
        <v>674.80952650674931</v>
      </c>
      <c r="U4" s="6">
        <f t="shared" si="6"/>
        <v>7.7480952650674935</v>
      </c>
    </row>
    <row r="5" spans="1:21" x14ac:dyDescent="0.3">
      <c r="A5" s="2">
        <v>45295</v>
      </c>
      <c r="B5" t="s">
        <v>16</v>
      </c>
      <c r="C5" t="s">
        <v>21</v>
      </c>
      <c r="D5" t="s">
        <v>26</v>
      </c>
      <c r="E5" t="s">
        <v>28</v>
      </c>
      <c r="F5">
        <v>257823</v>
      </c>
      <c r="G5">
        <v>16841</v>
      </c>
      <c r="H5">
        <v>3179</v>
      </c>
      <c r="I5">
        <v>1584</v>
      </c>
      <c r="J5">
        <v>698</v>
      </c>
      <c r="K5" s="4">
        <v>229715.44</v>
      </c>
      <c r="L5" s="4">
        <v>3850639.56</v>
      </c>
      <c r="M5" t="s">
        <v>34</v>
      </c>
      <c r="N5">
        <f t="shared" si="0"/>
        <v>1</v>
      </c>
      <c r="O5" t="str">
        <f>IF(AND(G5&lt;=F5,H5&lt;=G5,I5&lt;=H5,J5&lt;=I5),"OK","Check")</f>
        <v>OK</v>
      </c>
      <c r="P5" s="6">
        <f t="shared" si="1"/>
        <v>6.5320006360953062</v>
      </c>
      <c r="Q5" s="6">
        <f t="shared" si="2"/>
        <v>18.876551273677336</v>
      </c>
      <c r="R5" s="6">
        <f t="shared" si="3"/>
        <v>49.826989619377159</v>
      </c>
      <c r="S5" s="6">
        <f t="shared" si="4"/>
        <v>44.06565656565656</v>
      </c>
      <c r="T5" s="6">
        <f t="shared" si="5"/>
        <v>1576.2650172752863</v>
      </c>
      <c r="U5" s="6">
        <f t="shared" si="6"/>
        <v>16.762650172752863</v>
      </c>
    </row>
    <row r="6" spans="1:21" x14ac:dyDescent="0.3">
      <c r="A6" s="2">
        <v>45296</v>
      </c>
      <c r="B6" t="s">
        <v>16</v>
      </c>
      <c r="C6" t="s">
        <v>21</v>
      </c>
      <c r="D6" t="s">
        <v>26</v>
      </c>
      <c r="E6" t="s">
        <v>30</v>
      </c>
      <c r="F6">
        <v>98595</v>
      </c>
      <c r="G6">
        <v>7293</v>
      </c>
      <c r="H6">
        <v>1340</v>
      </c>
      <c r="I6">
        <v>854</v>
      </c>
      <c r="J6">
        <v>368</v>
      </c>
      <c r="K6" s="4">
        <v>52360.959999999999</v>
      </c>
      <c r="L6" s="4">
        <v>1543262.86</v>
      </c>
      <c r="M6" t="s">
        <v>34</v>
      </c>
      <c r="N6">
        <f t="shared" si="0"/>
        <v>1</v>
      </c>
      <c r="O6" t="str">
        <f>IF(AND(G6&lt;=F6,H6&lt;=G6,I6&lt;=H6,J6&lt;=I6),"OK","Check")</f>
        <v>OK</v>
      </c>
      <c r="P6" s="6">
        <f t="shared" si="1"/>
        <v>7.3969268218469502</v>
      </c>
      <c r="Q6" s="6">
        <f t="shared" si="2"/>
        <v>18.373783079665433</v>
      </c>
      <c r="R6" s="6">
        <f t="shared" si="3"/>
        <v>63.731343283582085</v>
      </c>
      <c r="S6" s="6">
        <f t="shared" si="4"/>
        <v>43.091334894613581</v>
      </c>
      <c r="T6" s="6">
        <f t="shared" si="5"/>
        <v>2847.3540210110741</v>
      </c>
      <c r="U6" s="6">
        <f t="shared" si="6"/>
        <v>29.473540210110741</v>
      </c>
    </row>
    <row r="7" spans="1:21" x14ac:dyDescent="0.3">
      <c r="A7" s="2">
        <v>45297</v>
      </c>
      <c r="B7" t="s">
        <v>16</v>
      </c>
      <c r="C7" t="s">
        <v>21</v>
      </c>
      <c r="D7" t="s">
        <v>26</v>
      </c>
      <c r="E7" t="s">
        <v>28</v>
      </c>
      <c r="F7">
        <v>68114</v>
      </c>
      <c r="G7">
        <v>5377</v>
      </c>
      <c r="H7">
        <v>909</v>
      </c>
      <c r="I7">
        <v>505</v>
      </c>
      <c r="J7">
        <v>222</v>
      </c>
      <c r="K7" s="4">
        <v>27454.35</v>
      </c>
      <c r="L7" s="4">
        <v>1717163.91</v>
      </c>
      <c r="M7" t="s">
        <v>33</v>
      </c>
      <c r="N7">
        <f t="shared" si="0"/>
        <v>1</v>
      </c>
      <c r="O7" t="str">
        <f>IF(AND(G7&lt;=F7,H7&lt;=G7,I7&lt;=H7,J7&lt;=I7),"OK","Check")</f>
        <v>OK</v>
      </c>
      <c r="P7" s="6">
        <f t="shared" si="1"/>
        <v>7.8941186833837387</v>
      </c>
      <c r="Q7" s="6">
        <f t="shared" si="2"/>
        <v>16.905337548819045</v>
      </c>
      <c r="R7" s="6">
        <f t="shared" si="3"/>
        <v>55.555555555555557</v>
      </c>
      <c r="S7" s="6">
        <f t="shared" si="4"/>
        <v>43.960396039603964</v>
      </c>
      <c r="T7" s="6">
        <f t="shared" si="5"/>
        <v>6154.6150610012619</v>
      </c>
      <c r="U7" s="6">
        <f t="shared" si="6"/>
        <v>62.546150610012624</v>
      </c>
    </row>
    <row r="8" spans="1:21" x14ac:dyDescent="0.3">
      <c r="A8" s="2">
        <v>45298</v>
      </c>
      <c r="B8" t="s">
        <v>16</v>
      </c>
      <c r="C8" t="s">
        <v>21</v>
      </c>
      <c r="D8" t="s">
        <v>26</v>
      </c>
      <c r="E8" t="s">
        <v>29</v>
      </c>
      <c r="F8">
        <v>175572</v>
      </c>
      <c r="G8">
        <v>6855</v>
      </c>
      <c r="H8">
        <v>1452</v>
      </c>
      <c r="I8">
        <v>757</v>
      </c>
      <c r="J8">
        <v>346</v>
      </c>
      <c r="K8" s="4">
        <v>95497.97</v>
      </c>
      <c r="L8" s="4">
        <v>2598807.52</v>
      </c>
      <c r="M8" t="s">
        <v>35</v>
      </c>
      <c r="N8">
        <f t="shared" si="0"/>
        <v>1</v>
      </c>
      <c r="O8" t="str">
        <f>IF(AND(G8&lt;=F8,H8&lt;=G8,I8&lt;=H8,J8&lt;=I8),"OK","Check")</f>
        <v>OK</v>
      </c>
      <c r="P8" s="6">
        <f t="shared" si="1"/>
        <v>3.9043811086050164</v>
      </c>
      <c r="Q8" s="6">
        <f t="shared" si="2"/>
        <v>21.181619256017505</v>
      </c>
      <c r="R8" s="6">
        <f t="shared" si="3"/>
        <v>52.134986225895318</v>
      </c>
      <c r="S8" s="6">
        <f t="shared" si="4"/>
        <v>45.706737120211358</v>
      </c>
      <c r="T8" s="6">
        <f t="shared" si="5"/>
        <v>2621.3222647559942</v>
      </c>
      <c r="U8" s="6">
        <f t="shared" si="6"/>
        <v>27.213222647559942</v>
      </c>
    </row>
    <row r="9" spans="1:21" x14ac:dyDescent="0.3">
      <c r="A9" s="2">
        <v>45299</v>
      </c>
      <c r="B9" t="s">
        <v>16</v>
      </c>
      <c r="C9" t="s">
        <v>21</v>
      </c>
      <c r="D9" t="s">
        <v>26</v>
      </c>
      <c r="E9" t="s">
        <v>28</v>
      </c>
      <c r="F9">
        <v>231966</v>
      </c>
      <c r="G9">
        <v>9373</v>
      </c>
      <c r="H9">
        <v>1934</v>
      </c>
      <c r="I9">
        <v>1247</v>
      </c>
      <c r="J9">
        <v>553</v>
      </c>
      <c r="K9" s="4">
        <v>175649</v>
      </c>
      <c r="L9" s="4">
        <v>2558956.35</v>
      </c>
      <c r="M9" t="s">
        <v>34</v>
      </c>
      <c r="N9">
        <f t="shared" si="0"/>
        <v>1</v>
      </c>
      <c r="O9" t="str">
        <f>IF(AND(G9&lt;=F9,H9&lt;=G9,I9&lt;=H9,J9&lt;=I9),"OK","Check")</f>
        <v>OK</v>
      </c>
      <c r="P9" s="6">
        <f t="shared" si="1"/>
        <v>4.0406783752791355</v>
      </c>
      <c r="Q9" s="6">
        <f t="shared" si="2"/>
        <v>20.633735196841993</v>
      </c>
      <c r="R9" s="6">
        <f t="shared" si="3"/>
        <v>64.477766287487071</v>
      </c>
      <c r="S9" s="6">
        <f t="shared" si="4"/>
        <v>44.346431435445069</v>
      </c>
      <c r="T9" s="6">
        <f t="shared" si="5"/>
        <v>1356.8579098087664</v>
      </c>
      <c r="U9" s="6">
        <f t="shared" si="6"/>
        <v>14.568579098087664</v>
      </c>
    </row>
    <row r="10" spans="1:21" x14ac:dyDescent="0.3">
      <c r="A10" s="2">
        <v>45300</v>
      </c>
      <c r="B10" t="s">
        <v>16</v>
      </c>
      <c r="C10" t="s">
        <v>21</v>
      </c>
      <c r="D10" t="s">
        <v>26</v>
      </c>
      <c r="E10" t="s">
        <v>29</v>
      </c>
      <c r="F10">
        <v>281339</v>
      </c>
      <c r="G10">
        <v>12310</v>
      </c>
      <c r="H10">
        <v>2329</v>
      </c>
      <c r="I10">
        <v>1319</v>
      </c>
      <c r="J10">
        <v>734</v>
      </c>
      <c r="K10" s="4">
        <v>126723.85</v>
      </c>
      <c r="L10" s="4">
        <v>4265725.03</v>
      </c>
      <c r="M10" t="s">
        <v>34</v>
      </c>
      <c r="N10">
        <f t="shared" si="0"/>
        <v>1</v>
      </c>
      <c r="O10" t="str">
        <f>IF(AND(G10&lt;=F10,H10&lt;=G10,I10&lt;=H10,J10&lt;=I10),"OK","Check")</f>
        <v>OK</v>
      </c>
      <c r="P10" s="6">
        <f t="shared" si="1"/>
        <v>4.3755042848663006</v>
      </c>
      <c r="Q10" s="6">
        <f t="shared" si="2"/>
        <v>18.919577579203899</v>
      </c>
      <c r="R10" s="6">
        <f t="shared" si="3"/>
        <v>56.633748389866902</v>
      </c>
      <c r="S10" s="6">
        <f t="shared" si="4"/>
        <v>55.648218347232749</v>
      </c>
      <c r="T10" s="6">
        <f t="shared" si="5"/>
        <v>3266.1580120869116</v>
      </c>
      <c r="U10" s="6">
        <f t="shared" si="6"/>
        <v>33.661580120869118</v>
      </c>
    </row>
    <row r="11" spans="1:21" x14ac:dyDescent="0.3">
      <c r="A11" s="2">
        <v>45301</v>
      </c>
      <c r="B11" t="s">
        <v>16</v>
      </c>
      <c r="C11" t="s">
        <v>21</v>
      </c>
      <c r="D11" t="s">
        <v>26</v>
      </c>
      <c r="E11" t="s">
        <v>28</v>
      </c>
      <c r="F11">
        <v>98805</v>
      </c>
      <c r="G11">
        <v>6952</v>
      </c>
      <c r="H11">
        <v>1479</v>
      </c>
      <c r="I11">
        <v>955</v>
      </c>
      <c r="J11">
        <v>455</v>
      </c>
      <c r="K11" s="4">
        <v>49446.12</v>
      </c>
      <c r="L11" s="4">
        <v>3012430.04</v>
      </c>
      <c r="M11" t="s">
        <v>33</v>
      </c>
      <c r="N11">
        <f t="shared" si="0"/>
        <v>1</v>
      </c>
      <c r="O11" t="str">
        <f>IF(AND(G11&lt;=F11,H11&lt;=G11,I11&lt;=H11,J11&lt;=I11),"OK","Check")</f>
        <v>OK</v>
      </c>
      <c r="P11" s="6">
        <f t="shared" si="1"/>
        <v>7.0360811699812755</v>
      </c>
      <c r="Q11" s="6">
        <f t="shared" si="2"/>
        <v>21.274453394706562</v>
      </c>
      <c r="R11" s="6">
        <f t="shared" si="3"/>
        <v>64.570655848546309</v>
      </c>
      <c r="S11" s="6">
        <f t="shared" si="4"/>
        <v>47.643979057591622</v>
      </c>
      <c r="T11" s="6">
        <f t="shared" si="5"/>
        <v>5992.348681757031</v>
      </c>
      <c r="U11" s="6">
        <f t="shared" si="6"/>
        <v>60.923486817570314</v>
      </c>
    </row>
    <row r="12" spans="1:21" x14ac:dyDescent="0.3">
      <c r="A12" s="2">
        <v>45302</v>
      </c>
      <c r="B12" t="s">
        <v>16</v>
      </c>
      <c r="C12" t="s">
        <v>21</v>
      </c>
      <c r="D12" t="s">
        <v>26</v>
      </c>
      <c r="E12" t="s">
        <v>30</v>
      </c>
      <c r="F12">
        <v>144093</v>
      </c>
      <c r="G12">
        <v>11451</v>
      </c>
      <c r="H12">
        <v>1776</v>
      </c>
      <c r="I12">
        <v>934</v>
      </c>
      <c r="J12">
        <v>480</v>
      </c>
      <c r="K12" s="4">
        <v>104177.45</v>
      </c>
      <c r="L12" s="4">
        <v>1723113.84</v>
      </c>
      <c r="M12" t="s">
        <v>33</v>
      </c>
      <c r="N12">
        <f t="shared" si="0"/>
        <v>1</v>
      </c>
      <c r="O12" t="str">
        <f>IF(AND(G12&lt;=F12,H12&lt;=G12,I12&lt;=H12,J12&lt;=I12),"OK","Check")</f>
        <v>OK</v>
      </c>
      <c r="P12" s="6">
        <f t="shared" si="1"/>
        <v>7.9469509275259727</v>
      </c>
      <c r="Q12" s="6">
        <f t="shared" si="2"/>
        <v>15.509562483625885</v>
      </c>
      <c r="R12" s="6">
        <f t="shared" si="3"/>
        <v>52.590090090090094</v>
      </c>
      <c r="S12" s="6">
        <f t="shared" si="4"/>
        <v>51.391862955032117</v>
      </c>
      <c r="T12" s="6">
        <f t="shared" si="5"/>
        <v>1554.0180624501752</v>
      </c>
      <c r="U12" s="6">
        <f t="shared" si="6"/>
        <v>16.540180624501751</v>
      </c>
    </row>
    <row r="13" spans="1:21" x14ac:dyDescent="0.3">
      <c r="A13" s="2">
        <v>45303</v>
      </c>
      <c r="B13" t="s">
        <v>16</v>
      </c>
      <c r="C13" t="s">
        <v>21</v>
      </c>
      <c r="D13" t="s">
        <v>26</v>
      </c>
      <c r="E13" t="s">
        <v>30</v>
      </c>
      <c r="F13">
        <v>158894</v>
      </c>
      <c r="G13">
        <v>6588</v>
      </c>
      <c r="H13">
        <v>1470</v>
      </c>
      <c r="I13">
        <v>867</v>
      </c>
      <c r="J13">
        <v>405</v>
      </c>
      <c r="K13" s="4">
        <v>102314.09</v>
      </c>
      <c r="L13" s="4">
        <v>3080880.49</v>
      </c>
      <c r="M13" t="s">
        <v>31</v>
      </c>
      <c r="N13">
        <f t="shared" si="0"/>
        <v>1</v>
      </c>
      <c r="O13" t="str">
        <f>IF(AND(G13&lt;=F13,H13&lt;=G13,I13&lt;=H13,J13&lt;=I13),"OK","Check")</f>
        <v>OK</v>
      </c>
      <c r="P13" s="6">
        <f t="shared" si="1"/>
        <v>4.1461603333039641</v>
      </c>
      <c r="Q13" s="6">
        <f t="shared" si="2"/>
        <v>22.313296903460838</v>
      </c>
      <c r="R13" s="6">
        <f t="shared" si="3"/>
        <v>58.979591836734691</v>
      </c>
      <c r="S13" s="6">
        <f t="shared" si="4"/>
        <v>46.712802768166092</v>
      </c>
      <c r="T13" s="6">
        <f t="shared" si="5"/>
        <v>2911.1986433149145</v>
      </c>
      <c r="U13" s="6">
        <f t="shared" si="6"/>
        <v>30.111986433149141</v>
      </c>
    </row>
    <row r="14" spans="1:21" x14ac:dyDescent="0.3">
      <c r="A14" s="2">
        <v>45304</v>
      </c>
      <c r="B14" t="s">
        <v>16</v>
      </c>
      <c r="C14" t="s">
        <v>21</v>
      </c>
      <c r="D14" t="s">
        <v>26</v>
      </c>
      <c r="E14" t="s">
        <v>30</v>
      </c>
      <c r="F14">
        <v>66250</v>
      </c>
      <c r="G14">
        <v>4921</v>
      </c>
      <c r="H14">
        <v>871</v>
      </c>
      <c r="I14">
        <v>392</v>
      </c>
      <c r="J14">
        <v>210</v>
      </c>
      <c r="K14" s="4">
        <v>51283.71</v>
      </c>
      <c r="L14" s="4">
        <v>1495426.01</v>
      </c>
      <c r="M14" t="s">
        <v>33</v>
      </c>
      <c r="N14">
        <f t="shared" si="0"/>
        <v>1</v>
      </c>
      <c r="O14" t="str">
        <f>IF(AND(G14&lt;=F14,H14&lt;=G14,I14&lt;=H14,J14&lt;=I14),"OK","Check")</f>
        <v>OK</v>
      </c>
      <c r="P14" s="6">
        <f t="shared" si="1"/>
        <v>7.4279245283018867</v>
      </c>
      <c r="Q14" s="6">
        <f t="shared" si="2"/>
        <v>17.699654541759806</v>
      </c>
      <c r="R14" s="6">
        <f t="shared" si="3"/>
        <v>45.005740528128591</v>
      </c>
      <c r="S14" s="6">
        <f t="shared" si="4"/>
        <v>53.571428571428569</v>
      </c>
      <c r="T14" s="6">
        <f t="shared" si="5"/>
        <v>2815.9864019198299</v>
      </c>
      <c r="U14" s="6">
        <f t="shared" si="6"/>
        <v>29.159864019198299</v>
      </c>
    </row>
    <row r="15" spans="1:21" x14ac:dyDescent="0.3">
      <c r="A15" s="2">
        <v>45305</v>
      </c>
      <c r="B15" t="s">
        <v>16</v>
      </c>
      <c r="C15" t="s">
        <v>21</v>
      </c>
      <c r="D15" t="s">
        <v>26</v>
      </c>
      <c r="E15" t="s">
        <v>30</v>
      </c>
      <c r="F15">
        <v>146445</v>
      </c>
      <c r="G15">
        <v>6570</v>
      </c>
      <c r="H15">
        <v>1466</v>
      </c>
      <c r="I15">
        <v>803</v>
      </c>
      <c r="J15">
        <v>436</v>
      </c>
      <c r="K15" s="4">
        <v>60478.27</v>
      </c>
      <c r="L15" s="4">
        <v>2107164.39</v>
      </c>
      <c r="M15" t="s">
        <v>34</v>
      </c>
      <c r="N15">
        <f t="shared" si="0"/>
        <v>1</v>
      </c>
      <c r="O15" t="str">
        <f>IF(AND(G15&lt;=F15,H15&lt;=G15,I15&lt;=H15,J15&lt;=I15),"OK","Check")</f>
        <v>OK</v>
      </c>
      <c r="P15" s="6">
        <f t="shared" si="1"/>
        <v>4.4863259244084812</v>
      </c>
      <c r="Q15" s="6">
        <f t="shared" si="2"/>
        <v>22.313546423135463</v>
      </c>
      <c r="R15" s="6">
        <f t="shared" si="3"/>
        <v>54.774897680763978</v>
      </c>
      <c r="S15" s="6">
        <f t="shared" si="4"/>
        <v>54.296388542963882</v>
      </c>
      <c r="T15" s="6">
        <f t="shared" si="5"/>
        <v>3384.1677680264338</v>
      </c>
      <c r="U15" s="6">
        <f t="shared" si="6"/>
        <v>34.84167768026434</v>
      </c>
    </row>
    <row r="16" spans="1:21" x14ac:dyDescent="0.3">
      <c r="A16" s="2">
        <v>45306</v>
      </c>
      <c r="B16" t="s">
        <v>16</v>
      </c>
      <c r="C16" t="s">
        <v>21</v>
      </c>
      <c r="D16" t="s">
        <v>26</v>
      </c>
      <c r="E16" t="s">
        <v>28</v>
      </c>
      <c r="F16">
        <v>95097</v>
      </c>
      <c r="G16">
        <v>7359</v>
      </c>
      <c r="H16">
        <v>1754</v>
      </c>
      <c r="I16">
        <v>1030</v>
      </c>
      <c r="J16">
        <v>512</v>
      </c>
      <c r="K16" s="4">
        <v>47007.7</v>
      </c>
      <c r="L16" s="4">
        <v>2174797.75</v>
      </c>
      <c r="M16" t="s">
        <v>32</v>
      </c>
      <c r="N16">
        <f t="shared" si="0"/>
        <v>1</v>
      </c>
      <c r="O16" t="str">
        <f>IF(AND(G16&lt;=F16,H16&lt;=G16,I16&lt;=H16,J16&lt;=I16),"OK","Check")</f>
        <v>OK</v>
      </c>
      <c r="P16" s="6">
        <f t="shared" si="1"/>
        <v>7.7384144610240071</v>
      </c>
      <c r="Q16" s="6">
        <f t="shared" si="2"/>
        <v>23.834760157630114</v>
      </c>
      <c r="R16" s="6">
        <f t="shared" si="3"/>
        <v>58.722919042189282</v>
      </c>
      <c r="S16" s="6">
        <f t="shared" si="4"/>
        <v>49.708737864077669</v>
      </c>
      <c r="T16" s="6">
        <f t="shared" si="5"/>
        <v>4526.4713015101779</v>
      </c>
      <c r="U16" s="6">
        <f t="shared" si="6"/>
        <v>46.264713015101783</v>
      </c>
    </row>
    <row r="17" spans="1:21" x14ac:dyDescent="0.3">
      <c r="A17" s="2">
        <v>45307</v>
      </c>
      <c r="B17" t="s">
        <v>16</v>
      </c>
      <c r="C17" t="s">
        <v>21</v>
      </c>
      <c r="D17" t="s">
        <v>26</v>
      </c>
      <c r="E17" t="s">
        <v>29</v>
      </c>
      <c r="F17">
        <v>234993</v>
      </c>
      <c r="G17">
        <v>13461</v>
      </c>
      <c r="H17">
        <v>2316</v>
      </c>
      <c r="I17">
        <v>1322</v>
      </c>
      <c r="J17">
        <v>778</v>
      </c>
      <c r="K17" s="4">
        <v>118803.89</v>
      </c>
      <c r="L17" s="4">
        <v>3598637.63</v>
      </c>
      <c r="M17" t="s">
        <v>32</v>
      </c>
      <c r="N17">
        <f t="shared" si="0"/>
        <v>1</v>
      </c>
      <c r="O17" t="str">
        <f>IF(AND(G17&lt;=F17,H17&lt;=G17,I17&lt;=H17,J17&lt;=I17),"OK","Check")</f>
        <v>OK</v>
      </c>
      <c r="P17" s="6">
        <f t="shared" si="1"/>
        <v>5.7282557352772212</v>
      </c>
      <c r="Q17" s="6">
        <f t="shared" si="2"/>
        <v>17.205259638956989</v>
      </c>
      <c r="R17" s="6">
        <f t="shared" si="3"/>
        <v>57.081174438687384</v>
      </c>
      <c r="S17" s="6">
        <f t="shared" si="4"/>
        <v>58.850226928895609</v>
      </c>
      <c r="T17" s="6">
        <f t="shared" si="5"/>
        <v>2929.0570704376764</v>
      </c>
      <c r="U17" s="6">
        <f t="shared" si="6"/>
        <v>30.290570704376766</v>
      </c>
    </row>
    <row r="18" spans="1:21" x14ac:dyDescent="0.3">
      <c r="A18" s="2">
        <v>45308</v>
      </c>
      <c r="B18" t="s">
        <v>16</v>
      </c>
      <c r="C18" t="s">
        <v>21</v>
      </c>
      <c r="D18" t="s">
        <v>26</v>
      </c>
      <c r="E18" t="s">
        <v>30</v>
      </c>
      <c r="F18">
        <v>72601</v>
      </c>
      <c r="G18">
        <v>4823</v>
      </c>
      <c r="H18">
        <v>859</v>
      </c>
      <c r="I18">
        <v>471</v>
      </c>
      <c r="J18">
        <v>224</v>
      </c>
      <c r="K18" s="4">
        <v>65231.88</v>
      </c>
      <c r="L18" s="4">
        <v>1540858.24</v>
      </c>
      <c r="M18" t="s">
        <v>34</v>
      </c>
      <c r="N18">
        <f t="shared" si="0"/>
        <v>1</v>
      </c>
      <c r="O18" t="str">
        <f>IF(AND(G18&lt;=F18,H18&lt;=G18,I18&lt;=H18,J18&lt;=I18),"OK","Check")</f>
        <v>OK</v>
      </c>
      <c r="P18" s="6">
        <f t="shared" si="1"/>
        <v>6.6431591851351905</v>
      </c>
      <c r="Q18" s="6">
        <f t="shared" si="2"/>
        <v>17.810491395397055</v>
      </c>
      <c r="R18" s="6">
        <f t="shared" si="3"/>
        <v>54.831199068684519</v>
      </c>
      <c r="S18" s="6">
        <f t="shared" si="4"/>
        <v>47.5583864118896</v>
      </c>
      <c r="T18" s="6">
        <f t="shared" si="5"/>
        <v>2262.1245317473604</v>
      </c>
      <c r="U18" s="6">
        <f t="shared" si="6"/>
        <v>23.621245317473605</v>
      </c>
    </row>
    <row r="19" spans="1:21" x14ac:dyDescent="0.3">
      <c r="A19" s="2">
        <v>45309</v>
      </c>
      <c r="B19" t="s">
        <v>16</v>
      </c>
      <c r="C19" t="s">
        <v>21</v>
      </c>
      <c r="D19" t="s">
        <v>26</v>
      </c>
      <c r="E19" t="s">
        <v>29</v>
      </c>
      <c r="F19">
        <v>64854</v>
      </c>
      <c r="G19">
        <v>3268</v>
      </c>
      <c r="H19">
        <v>774</v>
      </c>
      <c r="I19">
        <v>379</v>
      </c>
      <c r="J19">
        <v>187</v>
      </c>
      <c r="K19" s="4">
        <v>29837.69</v>
      </c>
      <c r="L19" s="4">
        <v>1134934.72</v>
      </c>
      <c r="M19" t="s">
        <v>32</v>
      </c>
      <c r="N19">
        <f t="shared" si="0"/>
        <v>1</v>
      </c>
      <c r="O19" t="str">
        <f>IF(AND(G19&lt;=F19,H19&lt;=G19,I19&lt;=H19,J19&lt;=I19),"OK","Check")</f>
        <v>OK</v>
      </c>
      <c r="P19" s="6">
        <f t="shared" si="1"/>
        <v>5.0390107009590777</v>
      </c>
      <c r="Q19" s="6">
        <f t="shared" si="2"/>
        <v>23.684210526315788</v>
      </c>
      <c r="R19" s="6">
        <f t="shared" si="3"/>
        <v>48.966408268733851</v>
      </c>
      <c r="S19" s="6">
        <f t="shared" si="4"/>
        <v>49.340369393139845</v>
      </c>
      <c r="T19" s="6">
        <f t="shared" si="5"/>
        <v>3703.6949911336974</v>
      </c>
      <c r="U19" s="6">
        <f t="shared" si="6"/>
        <v>38.036949911336968</v>
      </c>
    </row>
    <row r="20" spans="1:21" x14ac:dyDescent="0.3">
      <c r="A20" s="2">
        <v>45310</v>
      </c>
      <c r="B20" t="s">
        <v>16</v>
      </c>
      <c r="C20" t="s">
        <v>21</v>
      </c>
      <c r="D20" t="s">
        <v>26</v>
      </c>
      <c r="E20" t="s">
        <v>30</v>
      </c>
      <c r="F20">
        <v>140767</v>
      </c>
      <c r="G20">
        <v>7435</v>
      </c>
      <c r="H20">
        <v>1316</v>
      </c>
      <c r="I20">
        <v>748</v>
      </c>
      <c r="J20">
        <v>419</v>
      </c>
      <c r="K20" s="4">
        <v>134777.68</v>
      </c>
      <c r="L20" s="4">
        <v>2166219.39</v>
      </c>
      <c r="M20" t="s">
        <v>31</v>
      </c>
      <c r="N20">
        <f t="shared" si="0"/>
        <v>1</v>
      </c>
      <c r="O20" t="str">
        <f>IF(AND(G20&lt;=F20,H20&lt;=G20,I20&lt;=H20,J20&lt;=I20),"OK","Check")</f>
        <v>OK</v>
      </c>
      <c r="P20" s="6">
        <f t="shared" si="1"/>
        <v>5.2817776893732198</v>
      </c>
      <c r="Q20" s="6">
        <f t="shared" si="2"/>
        <v>17.700067249495628</v>
      </c>
      <c r="R20" s="6">
        <f t="shared" si="3"/>
        <v>56.838905775075986</v>
      </c>
      <c r="S20" s="6">
        <f t="shared" si="4"/>
        <v>56.016042780748663</v>
      </c>
      <c r="T20" s="6">
        <f t="shared" si="5"/>
        <v>1507.2538049326863</v>
      </c>
      <c r="U20" s="6">
        <f t="shared" si="6"/>
        <v>16.072538049326862</v>
      </c>
    </row>
    <row r="21" spans="1:21" x14ac:dyDescent="0.3">
      <c r="A21" s="2">
        <v>45311</v>
      </c>
      <c r="B21" t="s">
        <v>16</v>
      </c>
      <c r="C21" t="s">
        <v>21</v>
      </c>
      <c r="D21" t="s">
        <v>26</v>
      </c>
      <c r="E21" t="s">
        <v>28</v>
      </c>
      <c r="F21">
        <v>102564</v>
      </c>
      <c r="G21">
        <v>4036</v>
      </c>
      <c r="H21">
        <v>954</v>
      </c>
      <c r="I21">
        <v>619</v>
      </c>
      <c r="J21">
        <v>352</v>
      </c>
      <c r="K21" s="4">
        <v>51435.05</v>
      </c>
      <c r="L21" s="4">
        <v>2739137.65</v>
      </c>
      <c r="M21" t="s">
        <v>34</v>
      </c>
      <c r="N21">
        <f t="shared" si="0"/>
        <v>1</v>
      </c>
      <c r="O21" t="str">
        <f>IF(AND(G21&lt;=F21,H21&lt;=G21,I21&lt;=H21,J21&lt;=I21),"OK","Check")</f>
        <v>OK</v>
      </c>
      <c r="P21" s="6">
        <f t="shared" si="1"/>
        <v>3.935103935103935</v>
      </c>
      <c r="Q21" s="6">
        <f t="shared" si="2"/>
        <v>23.637264618434092</v>
      </c>
      <c r="R21" s="6">
        <f t="shared" si="3"/>
        <v>64.8846960167715</v>
      </c>
      <c r="S21" s="6">
        <f t="shared" si="4"/>
        <v>56.865912762520196</v>
      </c>
      <c r="T21" s="6">
        <f t="shared" si="5"/>
        <v>5225.4301298433656</v>
      </c>
      <c r="U21" s="6">
        <f t="shared" si="6"/>
        <v>53.254301298433653</v>
      </c>
    </row>
    <row r="22" spans="1:21" x14ac:dyDescent="0.3">
      <c r="A22" s="2">
        <v>45312</v>
      </c>
      <c r="B22" t="s">
        <v>16</v>
      </c>
      <c r="C22" t="s">
        <v>21</v>
      </c>
      <c r="D22" t="s">
        <v>26</v>
      </c>
      <c r="E22" t="s">
        <v>30</v>
      </c>
      <c r="F22">
        <v>99366</v>
      </c>
      <c r="G22">
        <v>6149</v>
      </c>
      <c r="H22">
        <v>1025</v>
      </c>
      <c r="I22">
        <v>585</v>
      </c>
      <c r="J22">
        <v>331</v>
      </c>
      <c r="K22" s="4">
        <v>39928.53</v>
      </c>
      <c r="L22" s="4">
        <v>2041493.6</v>
      </c>
      <c r="M22" t="s">
        <v>35</v>
      </c>
      <c r="N22">
        <f t="shared" si="0"/>
        <v>1</v>
      </c>
      <c r="O22" t="str">
        <f>IF(AND(G22&lt;=F22,H22&lt;=G22,I22&lt;=H22,J22&lt;=I22),"OK","Check")</f>
        <v>OK</v>
      </c>
      <c r="P22" s="6">
        <f t="shared" si="1"/>
        <v>6.1882333997544432</v>
      </c>
      <c r="Q22" s="6">
        <f t="shared" si="2"/>
        <v>16.669377134493413</v>
      </c>
      <c r="R22" s="6">
        <f t="shared" si="3"/>
        <v>57.073170731707314</v>
      </c>
      <c r="S22" s="6">
        <f t="shared" si="4"/>
        <v>56.581196581196579</v>
      </c>
      <c r="T22" s="6">
        <f t="shared" si="5"/>
        <v>5012.8694194351756</v>
      </c>
      <c r="U22" s="6">
        <f t="shared" si="6"/>
        <v>51.128694194351759</v>
      </c>
    </row>
    <row r="23" spans="1:21" x14ac:dyDescent="0.3">
      <c r="A23" s="2">
        <v>45313</v>
      </c>
      <c r="B23" t="s">
        <v>16</v>
      </c>
      <c r="C23" t="s">
        <v>21</v>
      </c>
      <c r="D23" t="s">
        <v>26</v>
      </c>
      <c r="E23" t="s">
        <v>29</v>
      </c>
      <c r="F23">
        <v>130732</v>
      </c>
      <c r="G23">
        <v>9877</v>
      </c>
      <c r="H23">
        <v>1815</v>
      </c>
      <c r="I23">
        <v>1127</v>
      </c>
      <c r="J23">
        <v>550</v>
      </c>
      <c r="K23" s="4">
        <v>65158.43</v>
      </c>
      <c r="L23" s="4">
        <v>2707316.61</v>
      </c>
      <c r="M23" t="s">
        <v>31</v>
      </c>
      <c r="N23">
        <f t="shared" si="0"/>
        <v>1</v>
      </c>
      <c r="O23" t="str">
        <f>IF(AND(G23&lt;=F23,H23&lt;=G23,I23&lt;=H23,J23&lt;=I23),"OK","Check")</f>
        <v>OK</v>
      </c>
      <c r="P23" s="6">
        <f t="shared" si="1"/>
        <v>7.5551509959306067</v>
      </c>
      <c r="Q23" s="6">
        <f t="shared" si="2"/>
        <v>18.376025108838718</v>
      </c>
      <c r="R23" s="6">
        <f t="shared" si="3"/>
        <v>62.093663911845731</v>
      </c>
      <c r="S23" s="6">
        <f t="shared" si="4"/>
        <v>48.802129547471161</v>
      </c>
      <c r="T23" s="6">
        <f t="shared" si="5"/>
        <v>4054.9752042828532</v>
      </c>
      <c r="U23" s="6">
        <f t="shared" si="6"/>
        <v>41.54975204282853</v>
      </c>
    </row>
    <row r="24" spans="1:21" x14ac:dyDescent="0.3">
      <c r="A24" s="2">
        <v>45314</v>
      </c>
      <c r="B24" t="s">
        <v>16</v>
      </c>
      <c r="C24" t="s">
        <v>21</v>
      </c>
      <c r="D24" t="s">
        <v>26</v>
      </c>
      <c r="E24" t="s">
        <v>28</v>
      </c>
      <c r="F24">
        <v>60282</v>
      </c>
      <c r="G24">
        <v>3890</v>
      </c>
      <c r="H24">
        <v>823</v>
      </c>
      <c r="I24">
        <v>440</v>
      </c>
      <c r="J24">
        <v>184</v>
      </c>
      <c r="K24" s="4">
        <v>50617.5</v>
      </c>
      <c r="L24" s="4">
        <v>1332250.53</v>
      </c>
      <c r="M24" t="s">
        <v>35</v>
      </c>
      <c r="N24">
        <f t="shared" si="0"/>
        <v>1</v>
      </c>
      <c r="O24" t="str">
        <f>IF(AND(G24&lt;=F24,H24&lt;=G24,I24&lt;=H24,J24&lt;=I24),"OK","Check")</f>
        <v>OK</v>
      </c>
      <c r="P24" s="6">
        <f t="shared" si="1"/>
        <v>6.4530042135297432</v>
      </c>
      <c r="Q24" s="6">
        <f t="shared" si="2"/>
        <v>21.156812339331619</v>
      </c>
      <c r="R24" s="6">
        <f t="shared" si="3"/>
        <v>53.462940461725395</v>
      </c>
      <c r="S24" s="6">
        <f t="shared" si="4"/>
        <v>41.818181818181813</v>
      </c>
      <c r="T24" s="6">
        <f t="shared" si="5"/>
        <v>2531.9959105052599</v>
      </c>
      <c r="U24" s="6">
        <f t="shared" si="6"/>
        <v>26.3199591050526</v>
      </c>
    </row>
    <row r="25" spans="1:21" x14ac:dyDescent="0.3">
      <c r="A25" s="2">
        <v>45315</v>
      </c>
      <c r="B25" t="s">
        <v>16</v>
      </c>
      <c r="C25" t="s">
        <v>21</v>
      </c>
      <c r="D25" t="s">
        <v>26</v>
      </c>
      <c r="E25" t="s">
        <v>28</v>
      </c>
      <c r="F25">
        <v>227987</v>
      </c>
      <c r="G25">
        <v>9955</v>
      </c>
      <c r="H25">
        <v>2151</v>
      </c>
      <c r="I25">
        <v>1233</v>
      </c>
      <c r="J25">
        <v>739</v>
      </c>
      <c r="K25" s="4">
        <v>116682</v>
      </c>
      <c r="L25" s="4">
        <v>4318918.7</v>
      </c>
      <c r="M25" t="s">
        <v>33</v>
      </c>
      <c r="N25">
        <f t="shared" si="0"/>
        <v>1</v>
      </c>
      <c r="O25" t="str">
        <f>IF(AND(G25&lt;=F25,H25&lt;=G25,I25&lt;=H25,J25&lt;=I25),"OK","Check")</f>
        <v>OK</v>
      </c>
      <c r="P25" s="6">
        <f t="shared" si="1"/>
        <v>4.3664770359713492</v>
      </c>
      <c r="Q25" s="6">
        <f t="shared" si="2"/>
        <v>21.607232546459066</v>
      </c>
      <c r="R25" s="6">
        <f t="shared" si="3"/>
        <v>57.322175732217573</v>
      </c>
      <c r="S25" s="6">
        <f t="shared" si="4"/>
        <v>59.935117599351173</v>
      </c>
      <c r="T25" s="6">
        <f t="shared" si="5"/>
        <v>3601.4438388097565</v>
      </c>
      <c r="U25" s="6">
        <f t="shared" si="6"/>
        <v>37.014438388097567</v>
      </c>
    </row>
    <row r="26" spans="1:21" x14ac:dyDescent="0.3">
      <c r="A26" s="2">
        <v>45316</v>
      </c>
      <c r="B26" t="s">
        <v>16</v>
      </c>
      <c r="C26" t="s">
        <v>21</v>
      </c>
      <c r="D26" t="s">
        <v>26</v>
      </c>
      <c r="E26" t="s">
        <v>28</v>
      </c>
      <c r="F26">
        <v>272168</v>
      </c>
      <c r="G26">
        <v>16989</v>
      </c>
      <c r="H26">
        <v>3561</v>
      </c>
      <c r="I26">
        <v>1864</v>
      </c>
      <c r="J26">
        <v>959</v>
      </c>
      <c r="K26" s="4">
        <v>166206.38</v>
      </c>
      <c r="L26" s="4">
        <v>4449882.8899999997</v>
      </c>
      <c r="M26" t="s">
        <v>34</v>
      </c>
      <c r="N26">
        <f t="shared" si="0"/>
        <v>1</v>
      </c>
      <c r="O26" t="str">
        <f>IF(AND(G26&lt;=F26,H26&lt;=G26,I26&lt;=H26,J26&lt;=I26),"OK","Check")</f>
        <v>OK</v>
      </c>
      <c r="P26" s="6">
        <f t="shared" si="1"/>
        <v>6.2421004673583962</v>
      </c>
      <c r="Q26" s="6">
        <f t="shared" si="2"/>
        <v>20.960621578668551</v>
      </c>
      <c r="R26" s="6">
        <f t="shared" si="3"/>
        <v>52.344846953103065</v>
      </c>
      <c r="S26" s="6">
        <f t="shared" si="4"/>
        <v>51.44849785407726</v>
      </c>
      <c r="T26" s="6">
        <f t="shared" si="5"/>
        <v>2577.323752553903</v>
      </c>
      <c r="U26" s="6">
        <f t="shared" si="6"/>
        <v>26.773237525539027</v>
      </c>
    </row>
    <row r="27" spans="1:21" x14ac:dyDescent="0.3">
      <c r="A27" s="2">
        <v>45317</v>
      </c>
      <c r="B27" t="s">
        <v>16</v>
      </c>
      <c r="C27" t="s">
        <v>21</v>
      </c>
      <c r="D27" t="s">
        <v>26</v>
      </c>
      <c r="E27" t="s">
        <v>29</v>
      </c>
      <c r="F27">
        <v>264817</v>
      </c>
      <c r="G27">
        <v>10684</v>
      </c>
      <c r="H27">
        <v>1820</v>
      </c>
      <c r="I27">
        <v>1080</v>
      </c>
      <c r="J27">
        <v>558</v>
      </c>
      <c r="K27" s="4">
        <v>178964.33</v>
      </c>
      <c r="L27" s="4">
        <v>2959111.96</v>
      </c>
      <c r="M27" t="s">
        <v>33</v>
      </c>
      <c r="N27">
        <f t="shared" si="0"/>
        <v>1</v>
      </c>
      <c r="O27" t="str">
        <f>IF(AND(G27&lt;=F27,H27&lt;=G27,I27&lt;=H27,J27&lt;=I27),"OK","Check")</f>
        <v>OK</v>
      </c>
      <c r="P27" s="6">
        <f t="shared" si="1"/>
        <v>4.0344841909696134</v>
      </c>
      <c r="Q27" s="6">
        <f t="shared" si="2"/>
        <v>17.034818420067392</v>
      </c>
      <c r="R27" s="6">
        <f t="shared" si="3"/>
        <v>59.340659340659343</v>
      </c>
      <c r="S27" s="6">
        <f t="shared" si="4"/>
        <v>51.666666666666671</v>
      </c>
      <c r="T27" s="6">
        <f t="shared" si="5"/>
        <v>1553.4646652771532</v>
      </c>
      <c r="U27" s="6">
        <f t="shared" si="6"/>
        <v>16.534646652771535</v>
      </c>
    </row>
    <row r="28" spans="1:21" x14ac:dyDescent="0.3">
      <c r="A28" s="2">
        <v>45318</v>
      </c>
      <c r="B28" t="s">
        <v>16</v>
      </c>
      <c r="C28" t="s">
        <v>21</v>
      </c>
      <c r="D28" t="s">
        <v>26</v>
      </c>
      <c r="E28" t="s">
        <v>28</v>
      </c>
      <c r="F28">
        <v>296970</v>
      </c>
      <c r="G28">
        <v>16468</v>
      </c>
      <c r="H28">
        <v>3817</v>
      </c>
      <c r="I28">
        <v>2120</v>
      </c>
      <c r="J28">
        <v>1220</v>
      </c>
      <c r="K28" s="4">
        <v>288391.33</v>
      </c>
      <c r="L28" s="4">
        <v>6571498.9500000002</v>
      </c>
      <c r="M28" t="s">
        <v>31</v>
      </c>
      <c r="N28">
        <f t="shared" si="0"/>
        <v>1</v>
      </c>
      <c r="O28" t="str">
        <f>IF(AND(G28&lt;=F28,H28&lt;=G28,I28&lt;=H28,J28&lt;=I28),"OK","Check")</f>
        <v>OK</v>
      </c>
      <c r="P28" s="6">
        <f t="shared" si="1"/>
        <v>5.5453412802640001</v>
      </c>
      <c r="Q28" s="6">
        <f t="shared" si="2"/>
        <v>23.178285159096429</v>
      </c>
      <c r="R28" s="6">
        <f t="shared" si="3"/>
        <v>55.541000785957564</v>
      </c>
      <c r="S28" s="6">
        <f t="shared" si="4"/>
        <v>57.547169811320757</v>
      </c>
      <c r="T28" s="6">
        <f t="shared" si="5"/>
        <v>2178.6742410044017</v>
      </c>
      <c r="U28" s="6">
        <f t="shared" si="6"/>
        <v>22.786742410044017</v>
      </c>
    </row>
    <row r="29" spans="1:21" x14ac:dyDescent="0.3">
      <c r="A29" s="2">
        <v>45319</v>
      </c>
      <c r="B29" t="s">
        <v>16</v>
      </c>
      <c r="C29" t="s">
        <v>21</v>
      </c>
      <c r="D29" t="s">
        <v>26</v>
      </c>
      <c r="E29" t="s">
        <v>30</v>
      </c>
      <c r="F29">
        <v>280154</v>
      </c>
      <c r="G29">
        <v>13508</v>
      </c>
      <c r="H29">
        <v>2070</v>
      </c>
      <c r="I29">
        <v>1200</v>
      </c>
      <c r="J29">
        <v>490</v>
      </c>
      <c r="K29" s="4">
        <v>258351.31</v>
      </c>
      <c r="L29" s="4">
        <v>2606824.7599999998</v>
      </c>
      <c r="M29" t="s">
        <v>34</v>
      </c>
      <c r="N29">
        <f t="shared" si="0"/>
        <v>1</v>
      </c>
      <c r="O29" t="str">
        <f>IF(AND(G29&lt;=F29,H29&lt;=G29,I29&lt;=H29,J29&lt;=I29),"OK","Check")</f>
        <v>OK</v>
      </c>
      <c r="P29" s="6">
        <f t="shared" si="1"/>
        <v>4.8216338156870862</v>
      </c>
      <c r="Q29" s="6">
        <f t="shared" si="2"/>
        <v>15.324252294936333</v>
      </c>
      <c r="R29" s="6">
        <f t="shared" si="3"/>
        <v>57.971014492753625</v>
      </c>
      <c r="S29" s="6">
        <f t="shared" si="4"/>
        <v>40.833333333333336</v>
      </c>
      <c r="T29" s="6">
        <f t="shared" si="5"/>
        <v>909.0232404859878</v>
      </c>
      <c r="U29" s="6">
        <f t="shared" si="6"/>
        <v>10.090232404859877</v>
      </c>
    </row>
    <row r="30" spans="1:21" x14ac:dyDescent="0.3">
      <c r="A30" s="2">
        <v>45320</v>
      </c>
      <c r="B30" t="s">
        <v>16</v>
      </c>
      <c r="C30" t="s">
        <v>21</v>
      </c>
      <c r="D30" t="s">
        <v>26</v>
      </c>
      <c r="E30" t="s">
        <v>29</v>
      </c>
      <c r="F30">
        <v>246082</v>
      </c>
      <c r="G30">
        <v>9319</v>
      </c>
      <c r="H30">
        <v>1989</v>
      </c>
      <c r="I30">
        <v>960</v>
      </c>
      <c r="J30">
        <v>442</v>
      </c>
      <c r="K30" s="4">
        <v>195337.39</v>
      </c>
      <c r="L30" s="4">
        <v>2170310.94</v>
      </c>
      <c r="M30" t="s">
        <v>35</v>
      </c>
      <c r="N30">
        <f t="shared" si="0"/>
        <v>1</v>
      </c>
      <c r="O30" t="str">
        <f>IF(AND(G30&lt;=F30,H30&lt;=G30,I30&lt;=H30,J30&lt;=I30),"OK","Check")</f>
        <v>OK</v>
      </c>
      <c r="P30" s="6">
        <f t="shared" si="1"/>
        <v>3.7869490657585687</v>
      </c>
      <c r="Q30" s="6">
        <f t="shared" si="2"/>
        <v>21.343491790964698</v>
      </c>
      <c r="R30" s="6">
        <f t="shared" si="3"/>
        <v>48.265460030165912</v>
      </c>
      <c r="S30" s="6">
        <f t="shared" si="4"/>
        <v>46.041666666666664</v>
      </c>
      <c r="T30" s="6">
        <f t="shared" si="5"/>
        <v>1011.057611653355</v>
      </c>
      <c r="U30" s="6">
        <f t="shared" si="6"/>
        <v>11.110576116533551</v>
      </c>
    </row>
    <row r="31" spans="1:21" x14ac:dyDescent="0.3">
      <c r="A31" s="2">
        <v>45321</v>
      </c>
      <c r="B31" t="s">
        <v>16</v>
      </c>
      <c r="C31" t="s">
        <v>21</v>
      </c>
      <c r="D31" t="s">
        <v>26</v>
      </c>
      <c r="E31" t="s">
        <v>30</v>
      </c>
      <c r="F31">
        <v>162479</v>
      </c>
      <c r="G31">
        <v>9378</v>
      </c>
      <c r="H31">
        <v>2210</v>
      </c>
      <c r="I31">
        <v>1154</v>
      </c>
      <c r="J31">
        <v>604</v>
      </c>
      <c r="K31" s="4">
        <v>157517.73000000001</v>
      </c>
      <c r="L31" s="4">
        <v>4429720.09</v>
      </c>
      <c r="M31" t="s">
        <v>31</v>
      </c>
      <c r="N31">
        <f t="shared" si="0"/>
        <v>1</v>
      </c>
      <c r="O31" t="str">
        <f>IF(AND(G31&lt;=F31,H31&lt;=G31,I31&lt;=H31,J31&lt;=I31),"OK","Check")</f>
        <v>OK</v>
      </c>
      <c r="P31" s="6">
        <f t="shared" si="1"/>
        <v>5.7718228201798389</v>
      </c>
      <c r="Q31" s="6">
        <f t="shared" si="2"/>
        <v>23.565792279803794</v>
      </c>
      <c r="R31" s="6">
        <f t="shared" si="3"/>
        <v>52.217194570135753</v>
      </c>
      <c r="S31" s="6">
        <f t="shared" si="4"/>
        <v>52.339688041594457</v>
      </c>
      <c r="T31" s="6">
        <f t="shared" si="5"/>
        <v>2712.2041182284679</v>
      </c>
      <c r="U31" s="6">
        <f t="shared" si="6"/>
        <v>28.122041182284683</v>
      </c>
    </row>
    <row r="32" spans="1:21" x14ac:dyDescent="0.3">
      <c r="A32" s="2">
        <v>45322</v>
      </c>
      <c r="B32" t="s">
        <v>16</v>
      </c>
      <c r="C32" t="s">
        <v>21</v>
      </c>
      <c r="D32" t="s">
        <v>26</v>
      </c>
      <c r="E32" t="s">
        <v>28</v>
      </c>
      <c r="F32">
        <v>256182</v>
      </c>
      <c r="G32">
        <v>17232</v>
      </c>
      <c r="H32">
        <v>3397</v>
      </c>
      <c r="I32">
        <v>1850</v>
      </c>
      <c r="J32">
        <v>871</v>
      </c>
      <c r="K32" s="4">
        <v>212839.26</v>
      </c>
      <c r="L32" s="4">
        <v>3579677.63</v>
      </c>
      <c r="M32" t="s">
        <v>32</v>
      </c>
      <c r="N32">
        <f t="shared" si="0"/>
        <v>1</v>
      </c>
      <c r="O32" t="str">
        <f>IF(AND(G32&lt;=F32,H32&lt;=G32,I32&lt;=H32,J32&lt;=I32),"OK","Check")</f>
        <v>OK</v>
      </c>
      <c r="P32" s="6">
        <f t="shared" si="1"/>
        <v>6.7264679017261173</v>
      </c>
      <c r="Q32" s="6">
        <f t="shared" si="2"/>
        <v>19.713324048282267</v>
      </c>
      <c r="R32" s="6">
        <f t="shared" si="3"/>
        <v>54.459817486017073</v>
      </c>
      <c r="S32" s="6">
        <f t="shared" si="4"/>
        <v>47.081081081081081</v>
      </c>
      <c r="T32" s="6">
        <f t="shared" si="5"/>
        <v>1581.8690452128053</v>
      </c>
      <c r="U32" s="6">
        <f t="shared" si="6"/>
        <v>16.818690452128049</v>
      </c>
    </row>
    <row r="33" spans="1:21" x14ac:dyDescent="0.3">
      <c r="A33" s="2">
        <v>45323</v>
      </c>
      <c r="B33" t="s">
        <v>16</v>
      </c>
      <c r="C33" t="s">
        <v>21</v>
      </c>
      <c r="D33" t="s">
        <v>26</v>
      </c>
      <c r="E33" t="s">
        <v>28</v>
      </c>
      <c r="F33">
        <v>269710</v>
      </c>
      <c r="G33">
        <v>19961</v>
      </c>
      <c r="H33">
        <v>3100</v>
      </c>
      <c r="I33">
        <v>1479</v>
      </c>
      <c r="J33">
        <v>780</v>
      </c>
      <c r="K33" s="4">
        <v>108988.07</v>
      </c>
      <c r="L33" s="4">
        <v>2698691.68</v>
      </c>
      <c r="M33" t="s">
        <v>32</v>
      </c>
      <c r="N33">
        <f t="shared" si="0"/>
        <v>1</v>
      </c>
      <c r="O33" t="str">
        <f>IF(AND(G33&lt;=F33,H33&lt;=G33,I33&lt;=H33,J33&lt;=I33),"OK","Check")</f>
        <v>OK</v>
      </c>
      <c r="P33" s="6">
        <f t="shared" si="1"/>
        <v>7.4009120907641543</v>
      </c>
      <c r="Q33" s="6">
        <f t="shared" si="2"/>
        <v>15.530284053905117</v>
      </c>
      <c r="R33" s="6">
        <f t="shared" si="3"/>
        <v>47.70967741935484</v>
      </c>
      <c r="S33" s="6">
        <f t="shared" si="4"/>
        <v>52.738336713995949</v>
      </c>
      <c r="T33" s="6">
        <f t="shared" si="5"/>
        <v>2376.1349384386749</v>
      </c>
      <c r="U33" s="6">
        <f t="shared" si="6"/>
        <v>24.761349384386751</v>
      </c>
    </row>
    <row r="34" spans="1:21" x14ac:dyDescent="0.3">
      <c r="A34" s="2">
        <v>45324</v>
      </c>
      <c r="B34" t="s">
        <v>16</v>
      </c>
      <c r="C34" t="s">
        <v>21</v>
      </c>
      <c r="D34" t="s">
        <v>26</v>
      </c>
      <c r="E34" t="s">
        <v>29</v>
      </c>
      <c r="F34">
        <v>85354</v>
      </c>
      <c r="G34">
        <v>4637</v>
      </c>
      <c r="H34">
        <v>948</v>
      </c>
      <c r="I34">
        <v>471</v>
      </c>
      <c r="J34">
        <v>279</v>
      </c>
      <c r="K34" s="4">
        <v>39467.1</v>
      </c>
      <c r="L34" s="4">
        <v>1069477.6599999999</v>
      </c>
      <c r="M34" t="s">
        <v>31</v>
      </c>
      <c r="N34">
        <f t="shared" si="0"/>
        <v>1</v>
      </c>
      <c r="O34" t="str">
        <f>IF(AND(G34&lt;=F34,H34&lt;=G34,I34&lt;=H34,J34&lt;=I34),"OK","Check")</f>
        <v>OK</v>
      </c>
      <c r="P34" s="6">
        <f t="shared" si="1"/>
        <v>5.4326686505611921</v>
      </c>
      <c r="Q34" s="6">
        <f t="shared" si="2"/>
        <v>20.444252749622603</v>
      </c>
      <c r="R34" s="6">
        <f t="shared" si="3"/>
        <v>49.683544303797468</v>
      </c>
      <c r="S34" s="6">
        <f t="shared" si="4"/>
        <v>59.235668789808912</v>
      </c>
      <c r="T34" s="6">
        <f t="shared" si="5"/>
        <v>2609.7953992059206</v>
      </c>
      <c r="U34" s="6">
        <f t="shared" si="6"/>
        <v>27.097953992059207</v>
      </c>
    </row>
    <row r="35" spans="1:21" x14ac:dyDescent="0.3">
      <c r="A35" s="2">
        <v>45325</v>
      </c>
      <c r="B35" t="s">
        <v>16</v>
      </c>
      <c r="C35" t="s">
        <v>21</v>
      </c>
      <c r="D35" t="s">
        <v>26</v>
      </c>
      <c r="E35" t="s">
        <v>29</v>
      </c>
      <c r="F35">
        <v>96853</v>
      </c>
      <c r="G35">
        <v>3046</v>
      </c>
      <c r="H35">
        <v>699</v>
      </c>
      <c r="I35">
        <v>327</v>
      </c>
      <c r="J35">
        <v>162</v>
      </c>
      <c r="K35" s="4">
        <v>53820.55</v>
      </c>
      <c r="L35" s="4">
        <v>868489.67</v>
      </c>
      <c r="M35" t="s">
        <v>33</v>
      </c>
      <c r="N35">
        <f t="shared" si="0"/>
        <v>1</v>
      </c>
      <c r="O35" t="str">
        <f>IF(AND(G35&lt;=F35,H35&lt;=G35,I35&lt;=H35,J35&lt;=I35),"OK","Check")</f>
        <v>OK</v>
      </c>
      <c r="P35" s="6">
        <f t="shared" si="1"/>
        <v>3.1449722775752949</v>
      </c>
      <c r="Q35" s="6">
        <f t="shared" si="2"/>
        <v>22.948128693368353</v>
      </c>
      <c r="R35" s="6">
        <f t="shared" si="3"/>
        <v>46.781115879828327</v>
      </c>
      <c r="S35" s="6">
        <f t="shared" si="4"/>
        <v>49.541284403669728</v>
      </c>
      <c r="T35" s="6">
        <f t="shared" si="5"/>
        <v>1513.6766904091467</v>
      </c>
      <c r="U35" s="6">
        <f t="shared" si="6"/>
        <v>16.136766904091466</v>
      </c>
    </row>
    <row r="36" spans="1:21" x14ac:dyDescent="0.3">
      <c r="A36" s="2">
        <v>45326</v>
      </c>
      <c r="B36" t="s">
        <v>16</v>
      </c>
      <c r="C36" t="s">
        <v>21</v>
      </c>
      <c r="D36" t="s">
        <v>26</v>
      </c>
      <c r="E36" t="s">
        <v>29</v>
      </c>
      <c r="F36">
        <v>251547</v>
      </c>
      <c r="G36">
        <v>15827</v>
      </c>
      <c r="H36">
        <v>2989</v>
      </c>
      <c r="I36">
        <v>1925</v>
      </c>
      <c r="J36">
        <v>804</v>
      </c>
      <c r="K36" s="4">
        <v>123902.52</v>
      </c>
      <c r="L36" s="4">
        <v>5851415.0499999998</v>
      </c>
      <c r="M36" t="s">
        <v>34</v>
      </c>
      <c r="N36">
        <f t="shared" si="0"/>
        <v>1</v>
      </c>
      <c r="O36" t="str">
        <f>IF(AND(G36&lt;=F36,H36&lt;=G36,I36&lt;=H36,J36&lt;=I36),"OK","Check")</f>
        <v>OK</v>
      </c>
      <c r="P36" s="6">
        <f t="shared" si="1"/>
        <v>6.2918659336028648</v>
      </c>
      <c r="Q36" s="6">
        <f t="shared" si="2"/>
        <v>18.885448916408667</v>
      </c>
      <c r="R36" s="6">
        <f t="shared" si="3"/>
        <v>64.402810304449659</v>
      </c>
      <c r="S36" s="6">
        <f t="shared" si="4"/>
        <v>41.766233766233768</v>
      </c>
      <c r="T36" s="6">
        <f t="shared" si="5"/>
        <v>4622.5956744059768</v>
      </c>
      <c r="U36" s="6">
        <f t="shared" si="6"/>
        <v>47.225956744059765</v>
      </c>
    </row>
    <row r="37" spans="1:21" x14ac:dyDescent="0.3">
      <c r="A37" s="2">
        <v>45327</v>
      </c>
      <c r="B37" t="s">
        <v>16</v>
      </c>
      <c r="C37" t="s">
        <v>21</v>
      </c>
      <c r="D37" t="s">
        <v>26</v>
      </c>
      <c r="E37" t="s">
        <v>29</v>
      </c>
      <c r="F37">
        <v>189912</v>
      </c>
      <c r="G37">
        <v>12514</v>
      </c>
      <c r="H37">
        <v>2711</v>
      </c>
      <c r="I37">
        <v>1616</v>
      </c>
      <c r="J37">
        <v>890</v>
      </c>
      <c r="K37" s="4">
        <v>132682.38</v>
      </c>
      <c r="L37" s="4">
        <v>5279956.6399999997</v>
      </c>
      <c r="M37" t="s">
        <v>33</v>
      </c>
      <c r="N37">
        <f t="shared" si="0"/>
        <v>1</v>
      </c>
      <c r="O37" t="str">
        <f>IF(AND(G37&lt;=F37,H37&lt;=G37,I37&lt;=H37,J37&lt;=I37),"OK","Check")</f>
        <v>OK</v>
      </c>
      <c r="P37" s="6">
        <f t="shared" si="1"/>
        <v>6.5893677071485746</v>
      </c>
      <c r="Q37" s="6">
        <f t="shared" si="2"/>
        <v>21.663736614991212</v>
      </c>
      <c r="R37" s="6">
        <f t="shared" si="3"/>
        <v>59.609000368867584</v>
      </c>
      <c r="S37" s="6">
        <f t="shared" si="4"/>
        <v>55.07425742574258</v>
      </c>
      <c r="T37" s="6">
        <f t="shared" si="5"/>
        <v>3879.3954856703649</v>
      </c>
      <c r="U37" s="6">
        <f t="shared" si="6"/>
        <v>39.79395485670365</v>
      </c>
    </row>
    <row r="38" spans="1:21" x14ac:dyDescent="0.3">
      <c r="A38" s="2">
        <v>45328</v>
      </c>
      <c r="B38" t="s">
        <v>16</v>
      </c>
      <c r="C38" t="s">
        <v>21</v>
      </c>
      <c r="D38" t="s">
        <v>26</v>
      </c>
      <c r="E38" t="s">
        <v>30</v>
      </c>
      <c r="F38">
        <v>202653</v>
      </c>
      <c r="G38">
        <v>7479</v>
      </c>
      <c r="H38">
        <v>1790</v>
      </c>
      <c r="I38">
        <v>1010</v>
      </c>
      <c r="J38">
        <v>592</v>
      </c>
      <c r="K38" s="4">
        <v>93098.57</v>
      </c>
      <c r="L38" s="4">
        <v>3172503.59</v>
      </c>
      <c r="M38" t="s">
        <v>34</v>
      </c>
      <c r="N38">
        <f t="shared" si="0"/>
        <v>1</v>
      </c>
      <c r="O38" t="str">
        <f>IF(AND(G38&lt;=F38,H38&lt;=G38,I38&lt;=H38,J38&lt;=I38),"OK","Check")</f>
        <v>OK</v>
      </c>
      <c r="P38" s="6">
        <f t="shared" si="1"/>
        <v>3.6905449216147801</v>
      </c>
      <c r="Q38" s="6">
        <f t="shared" si="2"/>
        <v>23.933680973392164</v>
      </c>
      <c r="R38" s="6">
        <f t="shared" si="3"/>
        <v>56.424581005586596</v>
      </c>
      <c r="S38" s="6">
        <f t="shared" si="4"/>
        <v>58.613861386138609</v>
      </c>
      <c r="T38" s="6">
        <f t="shared" si="5"/>
        <v>3307.6824058629468</v>
      </c>
      <c r="U38" s="6">
        <f t="shared" si="6"/>
        <v>34.07682405862947</v>
      </c>
    </row>
    <row r="39" spans="1:21" x14ac:dyDescent="0.3">
      <c r="A39" s="2">
        <v>45329</v>
      </c>
      <c r="B39" t="s">
        <v>16</v>
      </c>
      <c r="C39" t="s">
        <v>21</v>
      </c>
      <c r="D39" t="s">
        <v>26</v>
      </c>
      <c r="E39" t="s">
        <v>29</v>
      </c>
      <c r="F39">
        <v>72831</v>
      </c>
      <c r="G39">
        <v>5085</v>
      </c>
      <c r="H39">
        <v>1192</v>
      </c>
      <c r="I39">
        <v>648</v>
      </c>
      <c r="J39">
        <v>367</v>
      </c>
      <c r="K39" s="4">
        <v>65890.34</v>
      </c>
      <c r="L39" s="4">
        <v>2806226.91</v>
      </c>
      <c r="M39" t="s">
        <v>34</v>
      </c>
      <c r="N39">
        <f t="shared" si="0"/>
        <v>1</v>
      </c>
      <c r="O39" t="str">
        <f>IF(AND(G39&lt;=F39,H39&lt;=G39,I39&lt;=H39,J39&lt;=I39),"OK","Check")</f>
        <v>OK</v>
      </c>
      <c r="P39" s="6">
        <f t="shared" si="1"/>
        <v>6.9819170408205302</v>
      </c>
      <c r="Q39" s="6">
        <f t="shared" si="2"/>
        <v>23.441494591937069</v>
      </c>
      <c r="R39" s="6">
        <f t="shared" si="3"/>
        <v>54.36241610738255</v>
      </c>
      <c r="S39" s="6">
        <f t="shared" si="4"/>
        <v>56.635802469135797</v>
      </c>
      <c r="T39" s="6">
        <f t="shared" si="5"/>
        <v>4158.9352399759973</v>
      </c>
      <c r="U39" s="6">
        <f t="shared" si="6"/>
        <v>42.589352399759967</v>
      </c>
    </row>
    <row r="40" spans="1:21" x14ac:dyDescent="0.3">
      <c r="A40" s="2">
        <v>45330</v>
      </c>
      <c r="B40" t="s">
        <v>16</v>
      </c>
      <c r="C40" t="s">
        <v>21</v>
      </c>
      <c r="D40" t="s">
        <v>26</v>
      </c>
      <c r="E40" t="s">
        <v>30</v>
      </c>
      <c r="F40">
        <v>215776</v>
      </c>
      <c r="G40">
        <v>15117</v>
      </c>
      <c r="H40">
        <v>2292</v>
      </c>
      <c r="I40">
        <v>1195</v>
      </c>
      <c r="J40">
        <v>520</v>
      </c>
      <c r="K40" s="4">
        <v>203852.45</v>
      </c>
      <c r="L40" s="4">
        <v>3424734.79</v>
      </c>
      <c r="M40" t="s">
        <v>35</v>
      </c>
      <c r="N40">
        <f t="shared" si="0"/>
        <v>1</v>
      </c>
      <c r="O40" t="str">
        <f>IF(AND(G40&lt;=F40,H40&lt;=G40,I40&lt;=H40,J40&lt;=I40),"OK","Check")</f>
        <v>OK</v>
      </c>
      <c r="P40" s="6">
        <f t="shared" si="1"/>
        <v>7.0058764644816849</v>
      </c>
      <c r="Q40" s="6">
        <f t="shared" si="2"/>
        <v>15.161738440166699</v>
      </c>
      <c r="R40" s="6">
        <f t="shared" si="3"/>
        <v>52.137870855148336</v>
      </c>
      <c r="S40" s="6">
        <f t="shared" si="4"/>
        <v>43.51464435146444</v>
      </c>
      <c r="T40" s="6">
        <f t="shared" si="5"/>
        <v>1580.0066862085787</v>
      </c>
      <c r="U40" s="6">
        <f t="shared" si="6"/>
        <v>16.800066862085789</v>
      </c>
    </row>
    <row r="41" spans="1:21" x14ac:dyDescent="0.3">
      <c r="A41" s="2">
        <v>45331</v>
      </c>
      <c r="B41" t="s">
        <v>16</v>
      </c>
      <c r="C41" t="s">
        <v>21</v>
      </c>
      <c r="D41" t="s">
        <v>26</v>
      </c>
      <c r="E41" t="s">
        <v>29</v>
      </c>
      <c r="F41">
        <v>72443</v>
      </c>
      <c r="G41">
        <v>3074</v>
      </c>
      <c r="H41">
        <v>557</v>
      </c>
      <c r="I41">
        <v>275</v>
      </c>
      <c r="J41">
        <v>119</v>
      </c>
      <c r="K41" s="4">
        <v>67537.919999999998</v>
      </c>
      <c r="L41" s="4">
        <v>364638.44</v>
      </c>
      <c r="M41" t="s">
        <v>32</v>
      </c>
      <c r="N41">
        <f t="shared" si="0"/>
        <v>1</v>
      </c>
      <c r="O41" t="str">
        <f>IF(AND(G41&lt;=F41,H41&lt;=G41,I41&lt;=H41,J41&lt;=I41),"OK","Check")</f>
        <v>OK</v>
      </c>
      <c r="P41" s="6">
        <f t="shared" si="1"/>
        <v>4.2433361401377638</v>
      </c>
      <c r="Q41" s="6">
        <f t="shared" si="2"/>
        <v>18.119713728041638</v>
      </c>
      <c r="R41" s="6">
        <f t="shared" si="3"/>
        <v>49.371633752244165</v>
      </c>
      <c r="S41" s="6">
        <f t="shared" si="4"/>
        <v>43.272727272727273</v>
      </c>
      <c r="T41" s="6">
        <f t="shared" si="5"/>
        <v>439.90179146766735</v>
      </c>
      <c r="U41" s="6">
        <f t="shared" si="6"/>
        <v>5.3990179146766737</v>
      </c>
    </row>
    <row r="42" spans="1:21" x14ac:dyDescent="0.3">
      <c r="A42" s="2">
        <v>45332</v>
      </c>
      <c r="B42" t="s">
        <v>16</v>
      </c>
      <c r="C42" t="s">
        <v>21</v>
      </c>
      <c r="D42" t="s">
        <v>26</v>
      </c>
      <c r="E42" t="s">
        <v>30</v>
      </c>
      <c r="F42">
        <v>155169</v>
      </c>
      <c r="G42">
        <v>10534</v>
      </c>
      <c r="H42">
        <v>1826</v>
      </c>
      <c r="I42">
        <v>964</v>
      </c>
      <c r="J42">
        <v>488</v>
      </c>
      <c r="K42" s="4">
        <v>65548.509999999995</v>
      </c>
      <c r="L42" s="4">
        <v>2007650.15</v>
      </c>
      <c r="M42" t="s">
        <v>32</v>
      </c>
      <c r="N42">
        <f t="shared" si="0"/>
        <v>1</v>
      </c>
      <c r="O42" t="str">
        <f>IF(AND(G42&lt;=F42,H42&lt;=G42,I42&lt;=H42,J42&lt;=I42),"OK","Check")</f>
        <v>OK</v>
      </c>
      <c r="P42" s="6">
        <f t="shared" si="1"/>
        <v>6.7887271297746326</v>
      </c>
      <c r="Q42" s="6">
        <f t="shared" si="2"/>
        <v>17.334345927472945</v>
      </c>
      <c r="R42" s="6">
        <f t="shared" si="3"/>
        <v>52.79299014238773</v>
      </c>
      <c r="S42" s="6">
        <f t="shared" si="4"/>
        <v>50.622406639004147</v>
      </c>
      <c r="T42" s="6">
        <f t="shared" si="5"/>
        <v>2962.8463560804053</v>
      </c>
      <c r="U42" s="6">
        <f t="shared" si="6"/>
        <v>30.628463560804054</v>
      </c>
    </row>
    <row r="43" spans="1:21" x14ac:dyDescent="0.3">
      <c r="A43" s="2">
        <v>45333</v>
      </c>
      <c r="B43" t="s">
        <v>16</v>
      </c>
      <c r="C43" t="s">
        <v>21</v>
      </c>
      <c r="D43" t="s">
        <v>26</v>
      </c>
      <c r="E43" t="s">
        <v>29</v>
      </c>
      <c r="F43">
        <v>145600</v>
      </c>
      <c r="G43">
        <v>10817</v>
      </c>
      <c r="H43">
        <v>2620</v>
      </c>
      <c r="I43">
        <v>1253</v>
      </c>
      <c r="J43">
        <v>628</v>
      </c>
      <c r="K43" s="4">
        <v>143250</v>
      </c>
      <c r="L43" s="4">
        <v>3766197.11</v>
      </c>
      <c r="M43" t="s">
        <v>31</v>
      </c>
      <c r="N43">
        <f t="shared" si="0"/>
        <v>1</v>
      </c>
      <c r="O43" t="str">
        <f>IF(AND(G43&lt;=F43,H43&lt;=G43,I43&lt;=H43,J43&lt;=I43),"OK","Check")</f>
        <v>OK</v>
      </c>
      <c r="P43" s="6">
        <f t="shared" si="1"/>
        <v>7.4292582417582427</v>
      </c>
      <c r="Q43" s="6">
        <f t="shared" si="2"/>
        <v>24.221133401127855</v>
      </c>
      <c r="R43" s="6">
        <f t="shared" si="3"/>
        <v>47.824427480916029</v>
      </c>
      <c r="S43" s="6">
        <f t="shared" si="4"/>
        <v>50.119712689545096</v>
      </c>
      <c r="T43" s="6">
        <f t="shared" si="5"/>
        <v>2529.1079301919717</v>
      </c>
      <c r="U43" s="6">
        <f t="shared" si="6"/>
        <v>26.291079301919719</v>
      </c>
    </row>
    <row r="44" spans="1:21" x14ac:dyDescent="0.3">
      <c r="A44" s="2">
        <v>45334</v>
      </c>
      <c r="B44" t="s">
        <v>16</v>
      </c>
      <c r="C44" t="s">
        <v>21</v>
      </c>
      <c r="D44" t="s">
        <v>26</v>
      </c>
      <c r="E44" t="s">
        <v>28</v>
      </c>
      <c r="F44">
        <v>235449</v>
      </c>
      <c r="G44">
        <v>17901</v>
      </c>
      <c r="H44">
        <v>3572</v>
      </c>
      <c r="I44">
        <v>1970</v>
      </c>
      <c r="J44">
        <v>869</v>
      </c>
      <c r="K44" s="4">
        <v>156170.04999999999</v>
      </c>
      <c r="L44" s="4">
        <v>3779197.39</v>
      </c>
      <c r="M44" t="s">
        <v>35</v>
      </c>
      <c r="N44">
        <f t="shared" si="0"/>
        <v>1</v>
      </c>
      <c r="O44" t="str">
        <f>IF(AND(G44&lt;=F44,H44&lt;=G44,I44&lt;=H44,J44&lt;=I44),"OK","Check")</f>
        <v>OK</v>
      </c>
      <c r="P44" s="6">
        <f t="shared" si="1"/>
        <v>7.6029203776614036</v>
      </c>
      <c r="Q44" s="6">
        <f t="shared" si="2"/>
        <v>19.954192503212113</v>
      </c>
      <c r="R44" s="6">
        <f t="shared" si="3"/>
        <v>55.151175811870104</v>
      </c>
      <c r="S44" s="6">
        <f t="shared" si="4"/>
        <v>44.111675126903556</v>
      </c>
      <c r="T44" s="6">
        <f t="shared" si="5"/>
        <v>2319.92455659712</v>
      </c>
      <c r="U44" s="6">
        <f t="shared" si="6"/>
        <v>24.1992455659712</v>
      </c>
    </row>
    <row r="45" spans="1:21" x14ac:dyDescent="0.3">
      <c r="A45" s="2">
        <v>45335</v>
      </c>
      <c r="B45" t="s">
        <v>16</v>
      </c>
      <c r="C45" t="s">
        <v>21</v>
      </c>
      <c r="D45" t="s">
        <v>26</v>
      </c>
      <c r="E45" t="s">
        <v>30</v>
      </c>
      <c r="F45">
        <v>92082</v>
      </c>
      <c r="G45">
        <v>5873</v>
      </c>
      <c r="H45">
        <v>1376</v>
      </c>
      <c r="I45">
        <v>740</v>
      </c>
      <c r="J45">
        <v>425</v>
      </c>
      <c r="K45" s="4">
        <v>72924.97</v>
      </c>
      <c r="L45" s="4">
        <v>2747864.33</v>
      </c>
      <c r="M45" t="s">
        <v>33</v>
      </c>
      <c r="N45">
        <f t="shared" si="0"/>
        <v>1</v>
      </c>
      <c r="O45" t="str">
        <f>IF(AND(G45&lt;=F45,H45&lt;=G45,I45&lt;=H45,J45&lt;=I45),"OK","Check")</f>
        <v>OK</v>
      </c>
      <c r="P45" s="6">
        <f t="shared" si="1"/>
        <v>6.378010903325297</v>
      </c>
      <c r="Q45" s="6">
        <f t="shared" si="2"/>
        <v>23.429252511493274</v>
      </c>
      <c r="R45" s="6">
        <f t="shared" si="3"/>
        <v>53.779069767441854</v>
      </c>
      <c r="S45" s="6">
        <f t="shared" si="4"/>
        <v>57.432432432432435</v>
      </c>
      <c r="T45" s="6">
        <f t="shared" si="5"/>
        <v>3668.0705662271785</v>
      </c>
      <c r="U45" s="6">
        <f t="shared" si="6"/>
        <v>37.680705662271784</v>
      </c>
    </row>
    <row r="46" spans="1:21" x14ac:dyDescent="0.3">
      <c r="A46" s="2">
        <v>45336</v>
      </c>
      <c r="B46" t="s">
        <v>16</v>
      </c>
      <c r="C46" t="s">
        <v>21</v>
      </c>
      <c r="D46" t="s">
        <v>26</v>
      </c>
      <c r="E46" t="s">
        <v>28</v>
      </c>
      <c r="F46">
        <v>69767</v>
      </c>
      <c r="G46">
        <v>4894</v>
      </c>
      <c r="H46">
        <v>1047</v>
      </c>
      <c r="I46">
        <v>585</v>
      </c>
      <c r="J46">
        <v>275</v>
      </c>
      <c r="K46" s="4">
        <v>47791.5</v>
      </c>
      <c r="L46" s="4">
        <v>2145764.4700000002</v>
      </c>
      <c r="M46" t="s">
        <v>31</v>
      </c>
      <c r="N46">
        <f t="shared" si="0"/>
        <v>1</v>
      </c>
      <c r="O46" t="str">
        <f>IF(AND(G46&lt;=F46,H46&lt;=G46,I46&lt;=H46,J46&lt;=I46),"OK","Check")</f>
        <v>OK</v>
      </c>
      <c r="P46" s="6">
        <f t="shared" si="1"/>
        <v>7.0147777602591486</v>
      </c>
      <c r="Q46" s="6">
        <f t="shared" si="2"/>
        <v>21.393543114017163</v>
      </c>
      <c r="R46" s="6">
        <f t="shared" si="3"/>
        <v>55.873925501432666</v>
      </c>
      <c r="S46" s="6">
        <f t="shared" si="4"/>
        <v>47.008547008547005</v>
      </c>
      <c r="T46" s="6">
        <f t="shared" si="5"/>
        <v>4389.8454118410182</v>
      </c>
      <c r="U46" s="6">
        <f t="shared" si="6"/>
        <v>44.898454118410179</v>
      </c>
    </row>
    <row r="47" spans="1:21" x14ac:dyDescent="0.3">
      <c r="A47" s="2">
        <v>45337</v>
      </c>
      <c r="B47" t="s">
        <v>16</v>
      </c>
      <c r="C47" t="s">
        <v>21</v>
      </c>
      <c r="D47" t="s">
        <v>26</v>
      </c>
      <c r="E47" t="s">
        <v>29</v>
      </c>
      <c r="F47">
        <v>131440</v>
      </c>
      <c r="G47">
        <v>4550</v>
      </c>
      <c r="H47">
        <v>1063</v>
      </c>
      <c r="I47">
        <v>659</v>
      </c>
      <c r="J47">
        <v>286</v>
      </c>
      <c r="K47" s="4">
        <v>119990.61</v>
      </c>
      <c r="L47" s="4">
        <v>1990223.55</v>
      </c>
      <c r="M47" t="s">
        <v>35</v>
      </c>
      <c r="N47">
        <f t="shared" si="0"/>
        <v>1</v>
      </c>
      <c r="O47" t="str">
        <f>IF(AND(G47&lt;=F47,H47&lt;=G47,I47&lt;=H47,J47&lt;=I47),"OK","Check")</f>
        <v>OK</v>
      </c>
      <c r="P47" s="6">
        <f t="shared" si="1"/>
        <v>3.4616555082166767</v>
      </c>
      <c r="Q47" s="6">
        <f t="shared" si="2"/>
        <v>23.362637362637361</v>
      </c>
      <c r="R47" s="6">
        <f t="shared" si="3"/>
        <v>61.994355597365946</v>
      </c>
      <c r="S47" s="6">
        <f t="shared" si="4"/>
        <v>43.399089529590292</v>
      </c>
      <c r="T47" s="6">
        <f t="shared" si="5"/>
        <v>1558.6494143166701</v>
      </c>
      <c r="U47" s="6">
        <f t="shared" si="6"/>
        <v>16.586494143166703</v>
      </c>
    </row>
    <row r="48" spans="1:21" x14ac:dyDescent="0.3">
      <c r="A48" s="2">
        <v>45338</v>
      </c>
      <c r="B48" t="s">
        <v>16</v>
      </c>
      <c r="C48" t="s">
        <v>21</v>
      </c>
      <c r="D48" t="s">
        <v>26</v>
      </c>
      <c r="E48" t="s">
        <v>30</v>
      </c>
      <c r="F48">
        <v>281475</v>
      </c>
      <c r="G48">
        <v>14540</v>
      </c>
      <c r="H48">
        <v>2460</v>
      </c>
      <c r="I48">
        <v>1239</v>
      </c>
      <c r="J48">
        <v>519</v>
      </c>
      <c r="K48" s="4">
        <v>112654.64</v>
      </c>
      <c r="L48" s="4">
        <v>3920124.36</v>
      </c>
      <c r="M48" t="s">
        <v>32</v>
      </c>
      <c r="N48">
        <f t="shared" si="0"/>
        <v>1</v>
      </c>
      <c r="O48" t="str">
        <f>IF(AND(G48&lt;=F48,H48&lt;=G48,I48&lt;=H48,J48&lt;=I48),"OK","Check")</f>
        <v>OK</v>
      </c>
      <c r="P48" s="6">
        <f t="shared" si="1"/>
        <v>5.1656452615685229</v>
      </c>
      <c r="Q48" s="6">
        <f t="shared" si="2"/>
        <v>16.918844566712519</v>
      </c>
      <c r="R48" s="6">
        <f t="shared" si="3"/>
        <v>50.365853658536587</v>
      </c>
      <c r="S48" s="6">
        <f t="shared" si="4"/>
        <v>41.888619854721547</v>
      </c>
      <c r="T48" s="6">
        <f t="shared" si="5"/>
        <v>3379.7717697202706</v>
      </c>
      <c r="U48" s="6">
        <f t="shared" si="6"/>
        <v>34.797717697202707</v>
      </c>
    </row>
    <row r="49" spans="1:21" x14ac:dyDescent="0.3">
      <c r="A49" s="2">
        <v>45339</v>
      </c>
      <c r="B49" t="s">
        <v>16</v>
      </c>
      <c r="C49" t="s">
        <v>21</v>
      </c>
      <c r="D49" t="s">
        <v>26</v>
      </c>
      <c r="E49" t="s">
        <v>29</v>
      </c>
      <c r="F49">
        <v>138904</v>
      </c>
      <c r="G49">
        <v>6550</v>
      </c>
      <c r="H49">
        <v>1548</v>
      </c>
      <c r="I49">
        <v>797</v>
      </c>
      <c r="J49">
        <v>435</v>
      </c>
      <c r="K49" s="4">
        <v>128170.76</v>
      </c>
      <c r="L49" s="4">
        <v>3043168.56</v>
      </c>
      <c r="M49" t="s">
        <v>32</v>
      </c>
      <c r="N49">
        <f t="shared" si="0"/>
        <v>1</v>
      </c>
      <c r="O49" t="str">
        <f>IF(AND(G49&lt;=F49,H49&lt;=G49,I49&lt;=H49,J49&lt;=I49),"OK","Check")</f>
        <v>OK</v>
      </c>
      <c r="P49" s="6">
        <f t="shared" si="1"/>
        <v>4.7154869550192942</v>
      </c>
      <c r="Q49" s="6">
        <f t="shared" si="2"/>
        <v>23.63358778625954</v>
      </c>
      <c r="R49" s="6">
        <f t="shared" si="3"/>
        <v>51.485788113695087</v>
      </c>
      <c r="S49" s="6">
        <f t="shared" si="4"/>
        <v>54.579673776662489</v>
      </c>
      <c r="T49" s="6">
        <f t="shared" si="5"/>
        <v>2274.3079622840655</v>
      </c>
      <c r="U49" s="6">
        <f t="shared" si="6"/>
        <v>23.743079622840657</v>
      </c>
    </row>
    <row r="50" spans="1:21" x14ac:dyDescent="0.3">
      <c r="A50" s="2">
        <v>45340</v>
      </c>
      <c r="B50" t="s">
        <v>16</v>
      </c>
      <c r="C50" t="s">
        <v>21</v>
      </c>
      <c r="D50" t="s">
        <v>26</v>
      </c>
      <c r="E50" t="s">
        <v>30</v>
      </c>
      <c r="F50">
        <v>294254</v>
      </c>
      <c r="G50">
        <v>13308</v>
      </c>
      <c r="H50">
        <v>3157</v>
      </c>
      <c r="I50">
        <v>1809</v>
      </c>
      <c r="J50">
        <v>752</v>
      </c>
      <c r="K50" s="4">
        <v>251733.22</v>
      </c>
      <c r="L50" s="4">
        <v>4143706.82</v>
      </c>
      <c r="M50" t="s">
        <v>31</v>
      </c>
      <c r="N50">
        <f t="shared" si="0"/>
        <v>1</v>
      </c>
      <c r="O50" t="str">
        <f>IF(AND(G50&lt;=F50,H50&lt;=G50,I50&lt;=H50,J50&lt;=I50),"OK","Check")</f>
        <v>OK</v>
      </c>
      <c r="P50" s="6">
        <f t="shared" si="1"/>
        <v>4.5226233118326347</v>
      </c>
      <c r="Q50" s="6">
        <f t="shared" si="2"/>
        <v>23.722572888488127</v>
      </c>
      <c r="R50" s="6">
        <f t="shared" si="3"/>
        <v>57.30123535001583</v>
      </c>
      <c r="S50" s="6">
        <f t="shared" si="4"/>
        <v>41.569928137092319</v>
      </c>
      <c r="T50" s="6">
        <f t="shared" si="5"/>
        <v>1546.0707172458208</v>
      </c>
      <c r="U50" s="6">
        <f t="shared" si="6"/>
        <v>16.460707172458207</v>
      </c>
    </row>
    <row r="51" spans="1:21" x14ac:dyDescent="0.3">
      <c r="A51" s="2">
        <v>45341</v>
      </c>
      <c r="B51" t="s">
        <v>16</v>
      </c>
      <c r="C51" t="s">
        <v>21</v>
      </c>
      <c r="D51" t="s">
        <v>26</v>
      </c>
      <c r="E51" t="s">
        <v>29</v>
      </c>
      <c r="F51">
        <v>176880</v>
      </c>
      <c r="G51">
        <v>12551</v>
      </c>
      <c r="H51">
        <v>2597</v>
      </c>
      <c r="I51">
        <v>1551</v>
      </c>
      <c r="J51">
        <v>905</v>
      </c>
      <c r="K51" s="4">
        <v>165229.22</v>
      </c>
      <c r="L51" s="4">
        <v>3242544.96</v>
      </c>
      <c r="M51" t="s">
        <v>32</v>
      </c>
      <c r="N51">
        <f t="shared" si="0"/>
        <v>1</v>
      </c>
      <c r="O51" t="str">
        <f>IF(AND(G51&lt;=F51,H51&lt;=G51,I51&lt;=H51,J51&lt;=I51),"OK","Check")</f>
        <v>OK</v>
      </c>
      <c r="P51" s="6">
        <f t="shared" si="1"/>
        <v>7.095771144278606</v>
      </c>
      <c r="Q51" s="6">
        <f t="shared" si="2"/>
        <v>20.691578360290016</v>
      </c>
      <c r="R51" s="6">
        <f t="shared" si="3"/>
        <v>59.722757027339235</v>
      </c>
      <c r="S51" s="6">
        <f t="shared" si="4"/>
        <v>58.349451966473239</v>
      </c>
      <c r="T51" s="6">
        <f t="shared" si="5"/>
        <v>1862.4525008349008</v>
      </c>
      <c r="U51" s="6">
        <f t="shared" si="6"/>
        <v>19.624525008349007</v>
      </c>
    </row>
    <row r="52" spans="1:21" x14ac:dyDescent="0.3">
      <c r="A52" s="2">
        <v>45342</v>
      </c>
      <c r="B52" t="s">
        <v>16</v>
      </c>
      <c r="C52" t="s">
        <v>21</v>
      </c>
      <c r="D52" t="s">
        <v>26</v>
      </c>
      <c r="E52" t="s">
        <v>30</v>
      </c>
      <c r="F52">
        <v>135158</v>
      </c>
      <c r="G52">
        <v>10392</v>
      </c>
      <c r="H52">
        <v>2062</v>
      </c>
      <c r="I52">
        <v>977</v>
      </c>
      <c r="J52">
        <v>480</v>
      </c>
      <c r="K52" s="4">
        <v>101398.32</v>
      </c>
      <c r="L52" s="4">
        <v>1965140.43</v>
      </c>
      <c r="M52" t="s">
        <v>33</v>
      </c>
      <c r="N52">
        <f t="shared" si="0"/>
        <v>1</v>
      </c>
      <c r="O52" t="str">
        <f>IF(AND(G52&lt;=F52,H52&lt;=G52,I52&lt;=H52,J52&lt;=I52),"OK","Check")</f>
        <v>OK</v>
      </c>
      <c r="P52" s="6">
        <f t="shared" si="1"/>
        <v>7.6887790585832878</v>
      </c>
      <c r="Q52" s="6">
        <f t="shared" si="2"/>
        <v>19.842186297151652</v>
      </c>
      <c r="R52" s="6">
        <f t="shared" si="3"/>
        <v>47.381183317167796</v>
      </c>
      <c r="S52" s="6">
        <f t="shared" si="4"/>
        <v>49.12998976458546</v>
      </c>
      <c r="T52" s="6">
        <f t="shared" si="5"/>
        <v>1838.0404231549396</v>
      </c>
      <c r="U52" s="6">
        <f t="shared" si="6"/>
        <v>19.380404231549395</v>
      </c>
    </row>
    <row r="53" spans="1:21" x14ac:dyDescent="0.3">
      <c r="A53" s="2">
        <v>45343</v>
      </c>
      <c r="B53" t="s">
        <v>16</v>
      </c>
      <c r="C53" t="s">
        <v>21</v>
      </c>
      <c r="D53" t="s">
        <v>26</v>
      </c>
      <c r="E53" t="s">
        <v>28</v>
      </c>
      <c r="F53">
        <v>236532</v>
      </c>
      <c r="G53">
        <v>17823</v>
      </c>
      <c r="H53">
        <v>2773</v>
      </c>
      <c r="I53">
        <v>1664</v>
      </c>
      <c r="J53">
        <v>752</v>
      </c>
      <c r="K53" s="4">
        <v>209088.36</v>
      </c>
      <c r="L53" s="4">
        <v>2447521.69</v>
      </c>
      <c r="M53" t="s">
        <v>31</v>
      </c>
      <c r="N53">
        <f t="shared" si="0"/>
        <v>1</v>
      </c>
      <c r="O53" t="str">
        <f>IF(AND(G53&lt;=F53,H53&lt;=G53,I53&lt;=H53,J53&lt;=I53),"OK","Check")</f>
        <v>OK</v>
      </c>
      <c r="P53" s="6">
        <f t="shared" si="1"/>
        <v>7.5351326670387087</v>
      </c>
      <c r="Q53" s="6">
        <f t="shared" si="2"/>
        <v>15.558547943668295</v>
      </c>
      <c r="R53" s="6">
        <f t="shared" si="3"/>
        <v>60.007212405337185</v>
      </c>
      <c r="S53" s="6">
        <f t="shared" si="4"/>
        <v>45.192307692307693</v>
      </c>
      <c r="T53" s="6">
        <f t="shared" si="5"/>
        <v>1070.5681224913717</v>
      </c>
      <c r="U53" s="6">
        <f t="shared" si="6"/>
        <v>11.705681224913716</v>
      </c>
    </row>
    <row r="54" spans="1:21" x14ac:dyDescent="0.3">
      <c r="A54" s="2">
        <v>45344</v>
      </c>
      <c r="B54" t="s">
        <v>16</v>
      </c>
      <c r="C54" t="s">
        <v>21</v>
      </c>
      <c r="D54" t="s">
        <v>26</v>
      </c>
      <c r="E54" t="s">
        <v>29</v>
      </c>
      <c r="F54">
        <v>279307</v>
      </c>
      <c r="G54">
        <v>12903</v>
      </c>
      <c r="H54">
        <v>2336</v>
      </c>
      <c r="I54">
        <v>1311</v>
      </c>
      <c r="J54">
        <v>548</v>
      </c>
      <c r="K54" s="4">
        <v>265211.11</v>
      </c>
      <c r="L54" s="4">
        <v>3931415.84</v>
      </c>
      <c r="M54" t="s">
        <v>33</v>
      </c>
      <c r="N54">
        <f t="shared" si="0"/>
        <v>1</v>
      </c>
      <c r="O54" t="str">
        <f>IF(AND(G54&lt;=F54,H54&lt;=G54,I54&lt;=H54,J54&lt;=I54),"OK","Check")</f>
        <v>OK</v>
      </c>
      <c r="P54" s="6">
        <f t="shared" si="1"/>
        <v>4.6196479143021838</v>
      </c>
      <c r="Q54" s="6">
        <f t="shared" si="2"/>
        <v>18.104316825544448</v>
      </c>
      <c r="R54" s="6">
        <f t="shared" si="3"/>
        <v>56.121575342465761</v>
      </c>
      <c r="S54" s="6">
        <f t="shared" si="4"/>
        <v>41.800152555301295</v>
      </c>
      <c r="T54" s="6">
        <f t="shared" si="5"/>
        <v>1382.3722279206177</v>
      </c>
      <c r="U54" s="6">
        <f t="shared" si="6"/>
        <v>14.823722279206176</v>
      </c>
    </row>
    <row r="55" spans="1:21" x14ac:dyDescent="0.3">
      <c r="A55" s="2">
        <v>45345</v>
      </c>
      <c r="B55" t="s">
        <v>16</v>
      </c>
      <c r="C55" t="s">
        <v>21</v>
      </c>
      <c r="D55" t="s">
        <v>26</v>
      </c>
      <c r="E55" t="s">
        <v>29</v>
      </c>
      <c r="F55">
        <v>51984</v>
      </c>
      <c r="G55">
        <v>2911</v>
      </c>
      <c r="H55">
        <v>604</v>
      </c>
      <c r="I55">
        <v>374</v>
      </c>
      <c r="J55">
        <v>222</v>
      </c>
      <c r="K55" s="4">
        <v>27007.8</v>
      </c>
      <c r="L55" s="4">
        <v>1729748.62</v>
      </c>
      <c r="M55" t="s">
        <v>32</v>
      </c>
      <c r="N55">
        <f t="shared" si="0"/>
        <v>1</v>
      </c>
      <c r="O55" t="str">
        <f>IF(AND(G55&lt;=F55,H55&lt;=G55,I55&lt;=H55,J55&lt;=I55),"OK","Check")</f>
        <v>OK</v>
      </c>
      <c r="P55" s="6">
        <f t="shared" si="1"/>
        <v>5.5997999384425974</v>
      </c>
      <c r="Q55" s="6">
        <f t="shared" si="2"/>
        <v>20.748883545173481</v>
      </c>
      <c r="R55" s="6">
        <f t="shared" si="3"/>
        <v>61.920529801324506</v>
      </c>
      <c r="S55" s="6">
        <f t="shared" si="4"/>
        <v>59.358288770053477</v>
      </c>
      <c r="T55" s="6">
        <f t="shared" si="5"/>
        <v>6304.6261450395814</v>
      </c>
      <c r="U55" s="6">
        <f t="shared" si="6"/>
        <v>64.046261450395818</v>
      </c>
    </row>
    <row r="56" spans="1:21" x14ac:dyDescent="0.3">
      <c r="A56" s="2">
        <v>45346</v>
      </c>
      <c r="B56" t="s">
        <v>16</v>
      </c>
      <c r="C56" t="s">
        <v>21</v>
      </c>
      <c r="D56" t="s">
        <v>26</v>
      </c>
      <c r="E56" t="s">
        <v>30</v>
      </c>
      <c r="F56">
        <v>103947</v>
      </c>
      <c r="G56">
        <v>7149</v>
      </c>
      <c r="H56">
        <v>1414</v>
      </c>
      <c r="I56">
        <v>811</v>
      </c>
      <c r="J56">
        <v>375</v>
      </c>
      <c r="K56" s="4">
        <v>55023.96</v>
      </c>
      <c r="L56" s="4">
        <v>1623225.67</v>
      </c>
      <c r="M56" t="s">
        <v>32</v>
      </c>
      <c r="N56">
        <f t="shared" si="0"/>
        <v>1</v>
      </c>
      <c r="O56" t="str">
        <f>IF(AND(G56&lt;=F56,H56&lt;=G56,I56&lt;=H56,J56&lt;=I56),"OK","Check")</f>
        <v>OK</v>
      </c>
      <c r="P56" s="6">
        <f t="shared" si="1"/>
        <v>6.8775433634448326</v>
      </c>
      <c r="Q56" s="6">
        <f t="shared" si="2"/>
        <v>19.778990068541056</v>
      </c>
      <c r="R56" s="6">
        <f t="shared" si="3"/>
        <v>57.355021216407351</v>
      </c>
      <c r="S56" s="6">
        <f t="shared" si="4"/>
        <v>46.239210850801484</v>
      </c>
      <c r="T56" s="6">
        <f t="shared" si="5"/>
        <v>2850.0342578033278</v>
      </c>
      <c r="U56" s="6">
        <f t="shared" si="6"/>
        <v>29.500342578033276</v>
      </c>
    </row>
    <row r="57" spans="1:21" x14ac:dyDescent="0.3">
      <c r="A57" s="2">
        <v>45347</v>
      </c>
      <c r="B57" t="s">
        <v>16</v>
      </c>
      <c r="C57" t="s">
        <v>21</v>
      </c>
      <c r="D57" t="s">
        <v>26</v>
      </c>
      <c r="E57" t="s">
        <v>28</v>
      </c>
      <c r="F57">
        <v>61783</v>
      </c>
      <c r="G57">
        <v>3786</v>
      </c>
      <c r="H57">
        <v>675</v>
      </c>
      <c r="I57">
        <v>431</v>
      </c>
      <c r="J57">
        <v>230</v>
      </c>
      <c r="K57" s="4">
        <v>48713</v>
      </c>
      <c r="L57" s="4">
        <v>1095170.8600000001</v>
      </c>
      <c r="M57" t="s">
        <v>35</v>
      </c>
      <c r="N57">
        <f t="shared" si="0"/>
        <v>1</v>
      </c>
      <c r="O57" t="str">
        <f>IF(AND(G57&lt;=F57,H57&lt;=G57,I57&lt;=H57,J57&lt;=I57),"OK","Check")</f>
        <v>OK</v>
      </c>
      <c r="P57" s="6">
        <f t="shared" si="1"/>
        <v>6.1278992603143259</v>
      </c>
      <c r="Q57" s="6">
        <f t="shared" si="2"/>
        <v>17.828843106180667</v>
      </c>
      <c r="R57" s="6">
        <f t="shared" si="3"/>
        <v>63.851851851851848</v>
      </c>
      <c r="S57" s="6">
        <f t="shared" si="4"/>
        <v>53.364269141531317</v>
      </c>
      <c r="T57" s="6">
        <f t="shared" si="5"/>
        <v>2148.2106624515018</v>
      </c>
      <c r="U57" s="6">
        <f t="shared" si="6"/>
        <v>22.482106624515019</v>
      </c>
    </row>
    <row r="58" spans="1:21" x14ac:dyDescent="0.3">
      <c r="A58" s="2">
        <v>45348</v>
      </c>
      <c r="B58" t="s">
        <v>16</v>
      </c>
      <c r="C58" t="s">
        <v>21</v>
      </c>
      <c r="D58" t="s">
        <v>26</v>
      </c>
      <c r="E58" t="s">
        <v>30</v>
      </c>
      <c r="F58">
        <v>211522</v>
      </c>
      <c r="G58">
        <v>8146</v>
      </c>
      <c r="H58">
        <v>1649</v>
      </c>
      <c r="I58">
        <v>828</v>
      </c>
      <c r="J58">
        <v>347</v>
      </c>
      <c r="K58" s="4">
        <v>139232</v>
      </c>
      <c r="L58" s="4">
        <v>1343595.62</v>
      </c>
      <c r="M58" t="s">
        <v>35</v>
      </c>
      <c r="N58">
        <f t="shared" si="0"/>
        <v>1</v>
      </c>
      <c r="O58" t="str">
        <f>IF(AND(G58&lt;=F58,H58&lt;=G58,I58&lt;=H58,J58&lt;=I58),"OK","Check")</f>
        <v>OK</v>
      </c>
      <c r="P58" s="6">
        <f t="shared" si="1"/>
        <v>3.851136052041868</v>
      </c>
      <c r="Q58" s="6">
        <f t="shared" si="2"/>
        <v>20.243064080530321</v>
      </c>
      <c r="R58" s="6">
        <f t="shared" si="3"/>
        <v>50.212249848392965</v>
      </c>
      <c r="S58" s="6">
        <f t="shared" si="4"/>
        <v>41.908212560386474</v>
      </c>
      <c r="T58" s="6">
        <f t="shared" si="5"/>
        <v>865.00489829924163</v>
      </c>
      <c r="U58" s="6">
        <f t="shared" si="6"/>
        <v>9.6500489829924163</v>
      </c>
    </row>
    <row r="59" spans="1:21" x14ac:dyDescent="0.3">
      <c r="A59" s="2">
        <v>45349</v>
      </c>
      <c r="B59" t="s">
        <v>16</v>
      </c>
      <c r="C59" t="s">
        <v>21</v>
      </c>
      <c r="D59" t="s">
        <v>26</v>
      </c>
      <c r="E59" t="s">
        <v>28</v>
      </c>
      <c r="F59">
        <v>55880</v>
      </c>
      <c r="G59">
        <v>1910</v>
      </c>
      <c r="H59">
        <v>340</v>
      </c>
      <c r="I59">
        <v>220</v>
      </c>
      <c r="J59">
        <v>103</v>
      </c>
      <c r="K59" s="4">
        <v>40730.480000000003</v>
      </c>
      <c r="L59" s="4">
        <v>486883.69</v>
      </c>
      <c r="M59" t="s">
        <v>32</v>
      </c>
      <c r="N59">
        <f t="shared" si="0"/>
        <v>1</v>
      </c>
      <c r="O59" t="str">
        <f>IF(AND(G59&lt;=F59,H59&lt;=G59,I59&lt;=H59,J59&lt;=I59),"OK","Check")</f>
        <v>OK</v>
      </c>
      <c r="P59" s="6">
        <f t="shared" si="1"/>
        <v>3.4180386542591266</v>
      </c>
      <c r="Q59" s="6">
        <f t="shared" si="2"/>
        <v>17.801047120418847</v>
      </c>
      <c r="R59" s="6">
        <f t="shared" si="3"/>
        <v>64.705882352941174</v>
      </c>
      <c r="S59" s="6">
        <f t="shared" si="4"/>
        <v>46.81818181818182</v>
      </c>
      <c r="T59" s="6">
        <f t="shared" si="5"/>
        <v>1095.3792098693657</v>
      </c>
      <c r="U59" s="6">
        <f t="shared" si="6"/>
        <v>11.953792098693656</v>
      </c>
    </row>
    <row r="60" spans="1:21" x14ac:dyDescent="0.3">
      <c r="A60" s="2">
        <v>45350</v>
      </c>
      <c r="B60" t="s">
        <v>16</v>
      </c>
      <c r="C60" t="s">
        <v>21</v>
      </c>
      <c r="D60" t="s">
        <v>26</v>
      </c>
      <c r="E60" t="s">
        <v>29</v>
      </c>
      <c r="F60">
        <v>167535</v>
      </c>
      <c r="G60">
        <v>11504</v>
      </c>
      <c r="H60">
        <v>2177</v>
      </c>
      <c r="I60">
        <v>1304</v>
      </c>
      <c r="J60">
        <v>556</v>
      </c>
      <c r="K60" s="4">
        <v>110296.86</v>
      </c>
      <c r="L60" s="4">
        <v>4174012.5</v>
      </c>
      <c r="M60" t="s">
        <v>34</v>
      </c>
      <c r="N60">
        <f t="shared" si="0"/>
        <v>1</v>
      </c>
      <c r="O60" t="str">
        <f>IF(AND(G60&lt;=F60,H60&lt;=G60,I60&lt;=H60,J60&lt;=I60),"OK","Check")</f>
        <v>OK</v>
      </c>
      <c r="P60" s="6">
        <f t="shared" si="1"/>
        <v>6.8666248843525235</v>
      </c>
      <c r="Q60" s="6">
        <f t="shared" si="2"/>
        <v>18.923852573018081</v>
      </c>
      <c r="R60" s="6">
        <f t="shared" si="3"/>
        <v>59.89894350022967</v>
      </c>
      <c r="S60" s="6">
        <f t="shared" si="4"/>
        <v>42.638036809815951</v>
      </c>
      <c r="T60" s="6">
        <f t="shared" si="5"/>
        <v>3684.3439060731193</v>
      </c>
      <c r="U60" s="6">
        <f t="shared" si="6"/>
        <v>37.843439060731193</v>
      </c>
    </row>
    <row r="61" spans="1:21" x14ac:dyDescent="0.3">
      <c r="A61" s="2">
        <v>45351</v>
      </c>
      <c r="B61" t="s">
        <v>16</v>
      </c>
      <c r="C61" t="s">
        <v>21</v>
      </c>
      <c r="D61" t="s">
        <v>26</v>
      </c>
      <c r="E61" t="s">
        <v>30</v>
      </c>
      <c r="F61">
        <v>206944</v>
      </c>
      <c r="G61">
        <v>15993</v>
      </c>
      <c r="H61">
        <v>2610</v>
      </c>
      <c r="I61">
        <v>1657</v>
      </c>
      <c r="J61">
        <v>747</v>
      </c>
      <c r="K61" s="4">
        <v>170089.29</v>
      </c>
      <c r="L61" s="4">
        <v>2704688.17</v>
      </c>
      <c r="M61" t="s">
        <v>34</v>
      </c>
      <c r="N61">
        <f t="shared" si="0"/>
        <v>1</v>
      </c>
      <c r="O61" t="str">
        <f>IF(AND(G61&lt;=F61,H61&lt;=G61,I61&lt;=H61,J61&lt;=I61),"OK","Check")</f>
        <v>OK</v>
      </c>
      <c r="P61" s="6">
        <f t="shared" si="1"/>
        <v>7.7281776712540591</v>
      </c>
      <c r="Q61" s="6">
        <f t="shared" si="2"/>
        <v>16.319639842431062</v>
      </c>
      <c r="R61" s="6">
        <f t="shared" si="3"/>
        <v>63.486590038314169</v>
      </c>
      <c r="S61" s="6">
        <f t="shared" si="4"/>
        <v>45.081472540736272</v>
      </c>
      <c r="T61" s="6">
        <f t="shared" si="5"/>
        <v>1490.1578341587526</v>
      </c>
      <c r="U61" s="6">
        <f t="shared" si="6"/>
        <v>15.901578341587527</v>
      </c>
    </row>
    <row r="62" spans="1:21" x14ac:dyDescent="0.3">
      <c r="A62" s="2">
        <v>45352</v>
      </c>
      <c r="B62" t="s">
        <v>13</v>
      </c>
      <c r="C62" t="s">
        <v>18</v>
      </c>
      <c r="D62" t="s">
        <v>23</v>
      </c>
      <c r="E62" t="s">
        <v>29</v>
      </c>
      <c r="F62">
        <v>86043</v>
      </c>
      <c r="G62">
        <v>5121</v>
      </c>
      <c r="H62">
        <v>1032</v>
      </c>
      <c r="I62">
        <v>663</v>
      </c>
      <c r="J62">
        <v>383</v>
      </c>
      <c r="K62" s="4">
        <v>84842.240000000005</v>
      </c>
      <c r="L62" s="4">
        <v>2067523.93</v>
      </c>
      <c r="M62" t="s">
        <v>31</v>
      </c>
      <c r="N62">
        <f t="shared" si="0"/>
        <v>1</v>
      </c>
      <c r="O62" t="str">
        <f>IF(AND(G62&lt;=F62,H62&lt;=G62,I62&lt;=H62,J62&lt;=I62),"OK","Check")</f>
        <v>OK</v>
      </c>
      <c r="P62" s="6">
        <f t="shared" si="1"/>
        <v>5.9516753251281331</v>
      </c>
      <c r="Q62" s="6">
        <f t="shared" si="2"/>
        <v>20.152314001171646</v>
      </c>
      <c r="R62" s="6">
        <f t="shared" si="3"/>
        <v>64.244186046511629</v>
      </c>
      <c r="S62" s="6">
        <f t="shared" si="4"/>
        <v>57.76772247360482</v>
      </c>
      <c r="T62" s="6">
        <f t="shared" si="5"/>
        <v>2336.9039879192251</v>
      </c>
      <c r="U62" s="6">
        <f t="shared" si="6"/>
        <v>24.36903987919225</v>
      </c>
    </row>
    <row r="63" spans="1:21" x14ac:dyDescent="0.3">
      <c r="A63" s="2">
        <v>45352</v>
      </c>
      <c r="B63" t="s">
        <v>16</v>
      </c>
      <c r="C63" t="s">
        <v>21</v>
      </c>
      <c r="D63" t="s">
        <v>26</v>
      </c>
      <c r="E63" t="s">
        <v>28</v>
      </c>
      <c r="F63">
        <v>238624</v>
      </c>
      <c r="G63">
        <v>16826</v>
      </c>
      <c r="H63">
        <v>3034</v>
      </c>
      <c r="I63">
        <v>1553</v>
      </c>
      <c r="J63">
        <v>882</v>
      </c>
      <c r="K63" s="4">
        <v>121439.76</v>
      </c>
      <c r="L63" s="4">
        <v>5523179.9500000002</v>
      </c>
      <c r="M63" t="s">
        <v>35</v>
      </c>
      <c r="N63">
        <f t="shared" si="0"/>
        <v>1</v>
      </c>
      <c r="O63" t="str">
        <f>IF(AND(G63&lt;=F63,H63&lt;=G63,I63&lt;=H63,J63&lt;=I63),"OK","Check")</f>
        <v>OK</v>
      </c>
      <c r="P63" s="6">
        <f t="shared" si="1"/>
        <v>7.0512605605471377</v>
      </c>
      <c r="Q63" s="6">
        <f t="shared" si="2"/>
        <v>18.031617734458578</v>
      </c>
      <c r="R63" s="6">
        <f t="shared" si="3"/>
        <v>51.1865524060646</v>
      </c>
      <c r="S63" s="6">
        <f t="shared" si="4"/>
        <v>56.793303283966509</v>
      </c>
      <c r="T63" s="6">
        <f t="shared" si="5"/>
        <v>4448.0820696615347</v>
      </c>
      <c r="U63" s="6">
        <f t="shared" si="6"/>
        <v>45.480820696615346</v>
      </c>
    </row>
    <row r="64" spans="1:21" x14ac:dyDescent="0.3">
      <c r="A64" s="2">
        <v>45353</v>
      </c>
      <c r="B64" t="s">
        <v>13</v>
      </c>
      <c r="C64" t="s">
        <v>18</v>
      </c>
      <c r="D64" t="s">
        <v>23</v>
      </c>
      <c r="E64" t="s">
        <v>29</v>
      </c>
      <c r="F64">
        <v>106383</v>
      </c>
      <c r="G64">
        <v>8132</v>
      </c>
      <c r="H64">
        <v>1989</v>
      </c>
      <c r="I64">
        <v>1180</v>
      </c>
      <c r="J64">
        <v>597</v>
      </c>
      <c r="K64" s="4">
        <v>68120.59</v>
      </c>
      <c r="L64" s="4">
        <v>4167141.49</v>
      </c>
      <c r="M64" t="s">
        <v>32</v>
      </c>
      <c r="N64">
        <f t="shared" si="0"/>
        <v>1</v>
      </c>
      <c r="O64" t="str">
        <f>IF(AND(G64&lt;=F64,H64&lt;=G64,I64&lt;=H64,J64&lt;=I64),"OK","Check")</f>
        <v>OK</v>
      </c>
      <c r="P64" s="6">
        <f t="shared" si="1"/>
        <v>7.6440784711843053</v>
      </c>
      <c r="Q64" s="6">
        <f t="shared" si="2"/>
        <v>24.458927693064435</v>
      </c>
      <c r="R64" s="6">
        <f t="shared" si="3"/>
        <v>59.32629462041227</v>
      </c>
      <c r="S64" s="6">
        <f t="shared" si="4"/>
        <v>50.593220338983045</v>
      </c>
      <c r="T64" s="6">
        <f t="shared" si="5"/>
        <v>6017.3009364716318</v>
      </c>
      <c r="U64" s="6">
        <f t="shared" si="6"/>
        <v>61.173009364716314</v>
      </c>
    </row>
    <row r="65" spans="1:21" x14ac:dyDescent="0.3">
      <c r="A65" s="2">
        <v>45353</v>
      </c>
      <c r="B65" t="s">
        <v>16</v>
      </c>
      <c r="C65" t="s">
        <v>21</v>
      </c>
      <c r="D65" t="s">
        <v>26</v>
      </c>
      <c r="E65" t="s">
        <v>30</v>
      </c>
      <c r="F65">
        <v>137353</v>
      </c>
      <c r="G65">
        <v>10177</v>
      </c>
      <c r="H65">
        <v>1561</v>
      </c>
      <c r="I65">
        <v>926</v>
      </c>
      <c r="J65">
        <v>440</v>
      </c>
      <c r="K65" s="4">
        <v>62507.3</v>
      </c>
      <c r="L65" s="4">
        <v>2300981.91</v>
      </c>
      <c r="M65" t="s">
        <v>31</v>
      </c>
      <c r="N65">
        <f t="shared" si="0"/>
        <v>1</v>
      </c>
      <c r="O65" t="str">
        <f>IF(AND(G65&lt;=F65,H65&lt;=G65,I65&lt;=H65,J65&lt;=I65),"OK","Check")</f>
        <v>OK</v>
      </c>
      <c r="P65" s="6">
        <f t="shared" si="1"/>
        <v>7.4093758418090614</v>
      </c>
      <c r="Q65" s="6">
        <f t="shared" si="2"/>
        <v>15.338508401297043</v>
      </c>
      <c r="R65" s="6">
        <f t="shared" si="3"/>
        <v>59.320948110185782</v>
      </c>
      <c r="S65" s="6">
        <f t="shared" si="4"/>
        <v>47.516198704103672</v>
      </c>
      <c r="T65" s="6">
        <f t="shared" si="5"/>
        <v>3581.14109871967</v>
      </c>
      <c r="U65" s="6">
        <f t="shared" si="6"/>
        <v>36.811410987196695</v>
      </c>
    </row>
    <row r="66" spans="1:21" x14ac:dyDescent="0.3">
      <c r="A66" s="2">
        <v>45354</v>
      </c>
      <c r="B66" t="s">
        <v>13</v>
      </c>
      <c r="C66" t="s">
        <v>18</v>
      </c>
      <c r="D66" t="s">
        <v>23</v>
      </c>
      <c r="E66" t="s">
        <v>29</v>
      </c>
      <c r="F66">
        <v>190183</v>
      </c>
      <c r="G66">
        <v>9911</v>
      </c>
      <c r="H66">
        <v>2343</v>
      </c>
      <c r="I66">
        <v>1331</v>
      </c>
      <c r="J66">
        <v>712</v>
      </c>
      <c r="K66" s="4">
        <v>170515</v>
      </c>
      <c r="L66" s="4">
        <v>2633312.2000000002</v>
      </c>
      <c r="M66" t="s">
        <v>33</v>
      </c>
      <c r="N66">
        <f t="shared" si="0"/>
        <v>1</v>
      </c>
      <c r="O66" t="str">
        <f>IF(AND(G66&lt;=F66,H66&lt;=G66,I66&lt;=H66,J66&lt;=I66),"OK","Check")</f>
        <v>OK</v>
      </c>
      <c r="P66" s="6">
        <f t="shared" si="1"/>
        <v>5.2112964881193378</v>
      </c>
      <c r="Q66" s="6">
        <f t="shared" si="2"/>
        <v>23.640399556048834</v>
      </c>
      <c r="R66" s="6">
        <f t="shared" si="3"/>
        <v>56.8075117370892</v>
      </c>
      <c r="S66" s="6">
        <f t="shared" si="4"/>
        <v>53.49361382419233</v>
      </c>
      <c r="T66" s="6">
        <f t="shared" si="5"/>
        <v>1444.3287687300237</v>
      </c>
      <c r="U66" s="6">
        <f t="shared" si="6"/>
        <v>15.443287687300238</v>
      </c>
    </row>
    <row r="67" spans="1:21" x14ac:dyDescent="0.3">
      <c r="A67" s="2">
        <v>45354</v>
      </c>
      <c r="B67" t="s">
        <v>16</v>
      </c>
      <c r="C67" t="s">
        <v>21</v>
      </c>
      <c r="D67" t="s">
        <v>26</v>
      </c>
      <c r="E67" t="s">
        <v>29</v>
      </c>
      <c r="F67">
        <v>248339</v>
      </c>
      <c r="G67">
        <v>16962</v>
      </c>
      <c r="H67">
        <v>3496</v>
      </c>
      <c r="I67">
        <v>1806</v>
      </c>
      <c r="J67">
        <v>789</v>
      </c>
      <c r="K67" s="4">
        <v>175686.39999999999</v>
      </c>
      <c r="L67" s="4">
        <v>2908345.21</v>
      </c>
      <c r="M67" t="s">
        <v>35</v>
      </c>
      <c r="N67">
        <f t="shared" ref="N67:N130" si="7">COUNTIFS(A:A,A67,B:B,B67,C:C,C67,D:D,D67,E:E,E67,F:F,F67,G:G,G67,H:H,H67,I:I,I67,J:J,J67,K:K,K67,L:L,L67,M:M,M67)</f>
        <v>1</v>
      </c>
      <c r="O67" t="str">
        <f>IF(AND(G67&lt;=F67,H67&lt;=G67,I67&lt;=H67,J67&lt;=I67),"OK","Check")</f>
        <v>OK</v>
      </c>
      <c r="P67" s="6">
        <f t="shared" ref="P67:P130" si="8">IFERROR(G67/F67*100,0)</f>
        <v>6.8301797140199492</v>
      </c>
      <c r="Q67" s="6">
        <f t="shared" ref="Q67:Q130" si="9">IFERROR(H67/G67*100,0)</f>
        <v>20.610777031010493</v>
      </c>
      <c r="R67" s="6">
        <f t="shared" ref="R67:R130" si="10">IFERROR(I67/H67*100,0)</f>
        <v>51.659038901601825</v>
      </c>
      <c r="S67" s="6">
        <f t="shared" ref="S67:S130" si="11">IFERROR(J67/I67*100,0)</f>
        <v>43.687707641196013</v>
      </c>
      <c r="T67" s="6">
        <f t="shared" ref="T67:T130" si="12">IFERROR((L67-K67)/K67*100,0)</f>
        <v>1555.4185241430184</v>
      </c>
      <c r="U67" s="6">
        <f t="shared" ref="U67:U130" si="13">IFERROR(L67/K67,0)</f>
        <v>16.554185241430186</v>
      </c>
    </row>
    <row r="68" spans="1:21" x14ac:dyDescent="0.3">
      <c r="A68" s="2">
        <v>45355</v>
      </c>
      <c r="B68" t="s">
        <v>13</v>
      </c>
      <c r="C68" t="s">
        <v>18</v>
      </c>
      <c r="D68" t="s">
        <v>23</v>
      </c>
      <c r="E68" t="s">
        <v>29</v>
      </c>
      <c r="F68">
        <v>151825</v>
      </c>
      <c r="G68">
        <v>7293</v>
      </c>
      <c r="H68">
        <v>1728</v>
      </c>
      <c r="I68">
        <v>1114</v>
      </c>
      <c r="J68">
        <v>497</v>
      </c>
      <c r="K68" s="4">
        <v>76965.64</v>
      </c>
      <c r="L68" s="4">
        <v>3527269.49</v>
      </c>
      <c r="M68" t="s">
        <v>34</v>
      </c>
      <c r="N68">
        <f t="shared" si="7"/>
        <v>1</v>
      </c>
      <c r="O68" t="str">
        <f>IF(AND(G68&lt;=F68,H68&lt;=G68,I68&lt;=H68,J68&lt;=I68),"OK","Check")</f>
        <v>OK</v>
      </c>
      <c r="P68" s="6">
        <f t="shared" si="8"/>
        <v>4.8035567264943193</v>
      </c>
      <c r="Q68" s="6">
        <f t="shared" si="9"/>
        <v>23.69395310571781</v>
      </c>
      <c r="R68" s="6">
        <f t="shared" si="10"/>
        <v>64.467592592592595</v>
      </c>
      <c r="S68" s="6">
        <f t="shared" si="11"/>
        <v>44.614003590664275</v>
      </c>
      <c r="T68" s="6">
        <f t="shared" si="12"/>
        <v>4482.914518738492</v>
      </c>
      <c r="U68" s="6">
        <f t="shared" si="13"/>
        <v>45.829145187384917</v>
      </c>
    </row>
    <row r="69" spans="1:21" x14ac:dyDescent="0.3">
      <c r="A69" s="2">
        <v>45355</v>
      </c>
      <c r="B69" t="s">
        <v>16</v>
      </c>
      <c r="C69" t="s">
        <v>21</v>
      </c>
      <c r="D69" t="s">
        <v>26</v>
      </c>
      <c r="E69" t="s">
        <v>29</v>
      </c>
      <c r="F69">
        <v>56983</v>
      </c>
      <c r="G69">
        <v>2037</v>
      </c>
      <c r="H69">
        <v>418</v>
      </c>
      <c r="I69">
        <v>208</v>
      </c>
      <c r="J69">
        <v>123</v>
      </c>
      <c r="K69" s="4">
        <v>53251.91</v>
      </c>
      <c r="L69" s="4">
        <v>737803.26</v>
      </c>
      <c r="M69" t="s">
        <v>31</v>
      </c>
      <c r="N69">
        <f t="shared" si="7"/>
        <v>1</v>
      </c>
      <c r="O69" t="str">
        <f>IF(AND(G69&lt;=F69,H69&lt;=G69,I69&lt;=H69,J69&lt;=I69),"OK","Check")</f>
        <v>OK</v>
      </c>
      <c r="P69" s="6">
        <f t="shared" si="8"/>
        <v>3.574750364143692</v>
      </c>
      <c r="Q69" s="6">
        <f t="shared" si="9"/>
        <v>20.520373097692683</v>
      </c>
      <c r="R69" s="6">
        <f t="shared" si="10"/>
        <v>49.760765550239235</v>
      </c>
      <c r="S69" s="6">
        <f t="shared" si="11"/>
        <v>59.134615384615387</v>
      </c>
      <c r="T69" s="6">
        <f t="shared" si="12"/>
        <v>1285.4963324320197</v>
      </c>
      <c r="U69" s="6">
        <f t="shared" si="13"/>
        <v>13.854963324320197</v>
      </c>
    </row>
    <row r="70" spans="1:21" x14ac:dyDescent="0.3">
      <c r="A70" s="2">
        <v>45356</v>
      </c>
      <c r="B70" t="s">
        <v>13</v>
      </c>
      <c r="C70" t="s">
        <v>18</v>
      </c>
      <c r="D70" t="s">
        <v>23</v>
      </c>
      <c r="E70" t="s">
        <v>29</v>
      </c>
      <c r="F70">
        <v>70110</v>
      </c>
      <c r="G70">
        <v>3013</v>
      </c>
      <c r="H70">
        <v>750</v>
      </c>
      <c r="I70">
        <v>468</v>
      </c>
      <c r="J70">
        <v>238</v>
      </c>
      <c r="K70" s="4">
        <v>52948</v>
      </c>
      <c r="L70" s="4">
        <v>1892177.59</v>
      </c>
      <c r="M70" t="s">
        <v>32</v>
      </c>
      <c r="N70">
        <f t="shared" si="7"/>
        <v>1</v>
      </c>
      <c r="O70" t="str">
        <f>IF(AND(G70&lt;=F70,H70&lt;=G70,I70&lt;=H70,J70&lt;=I70),"OK","Check")</f>
        <v>OK</v>
      </c>
      <c r="P70" s="6">
        <f t="shared" si="8"/>
        <v>4.2975324490087008</v>
      </c>
      <c r="Q70" s="6">
        <f t="shared" si="9"/>
        <v>24.892134085628943</v>
      </c>
      <c r="R70" s="6">
        <f t="shared" si="10"/>
        <v>62.4</v>
      </c>
      <c r="S70" s="6">
        <f t="shared" si="11"/>
        <v>50.854700854700852</v>
      </c>
      <c r="T70" s="6">
        <f t="shared" si="12"/>
        <v>3473.6526214399037</v>
      </c>
      <c r="U70" s="6">
        <f t="shared" si="13"/>
        <v>35.736526214399035</v>
      </c>
    </row>
    <row r="71" spans="1:21" x14ac:dyDescent="0.3">
      <c r="A71" s="2">
        <v>45356</v>
      </c>
      <c r="B71" t="s">
        <v>16</v>
      </c>
      <c r="C71" t="s">
        <v>21</v>
      </c>
      <c r="D71" t="s">
        <v>26</v>
      </c>
      <c r="E71" t="s">
        <v>28</v>
      </c>
      <c r="F71">
        <v>161034</v>
      </c>
      <c r="G71">
        <v>5095</v>
      </c>
      <c r="H71">
        <v>881</v>
      </c>
      <c r="I71">
        <v>462</v>
      </c>
      <c r="J71">
        <v>224</v>
      </c>
      <c r="K71" s="4">
        <v>84019.32</v>
      </c>
      <c r="L71" s="4">
        <v>923164.11</v>
      </c>
      <c r="M71" t="s">
        <v>32</v>
      </c>
      <c r="N71">
        <f t="shared" si="7"/>
        <v>1</v>
      </c>
      <c r="O71" t="str">
        <f>IF(AND(G71&lt;=F71,H71&lt;=G71,I71&lt;=H71,J71&lt;=I71),"OK","Check")</f>
        <v>OK</v>
      </c>
      <c r="P71" s="6">
        <f t="shared" si="8"/>
        <v>3.1639281145596581</v>
      </c>
      <c r="Q71" s="6">
        <f t="shared" si="9"/>
        <v>17.291462217860648</v>
      </c>
      <c r="R71" s="6">
        <f t="shared" si="10"/>
        <v>52.440408626560732</v>
      </c>
      <c r="S71" s="6">
        <f t="shared" si="11"/>
        <v>48.484848484848484</v>
      </c>
      <c r="T71" s="6">
        <f t="shared" si="12"/>
        <v>998.75217985577592</v>
      </c>
      <c r="U71" s="6">
        <f t="shared" si="13"/>
        <v>10.98752179855776</v>
      </c>
    </row>
    <row r="72" spans="1:21" x14ac:dyDescent="0.3">
      <c r="A72" s="2">
        <v>45357</v>
      </c>
      <c r="B72" t="s">
        <v>13</v>
      </c>
      <c r="C72" t="s">
        <v>18</v>
      </c>
      <c r="D72" t="s">
        <v>23</v>
      </c>
      <c r="E72" t="s">
        <v>29</v>
      </c>
      <c r="F72">
        <v>127872</v>
      </c>
      <c r="G72">
        <v>7698</v>
      </c>
      <c r="H72">
        <v>1526</v>
      </c>
      <c r="I72">
        <v>763</v>
      </c>
      <c r="J72">
        <v>381</v>
      </c>
      <c r="K72" s="4">
        <v>116041.16</v>
      </c>
      <c r="L72" s="4">
        <v>2303108.0099999998</v>
      </c>
      <c r="M72" t="s">
        <v>31</v>
      </c>
      <c r="N72">
        <f t="shared" si="7"/>
        <v>1</v>
      </c>
      <c r="O72" t="str">
        <f>IF(AND(G72&lt;=F72,H72&lt;=G72,I72&lt;=H72,J72&lt;=I72),"OK","Check")</f>
        <v>OK</v>
      </c>
      <c r="P72" s="6">
        <f t="shared" si="8"/>
        <v>6.0200825825825826</v>
      </c>
      <c r="Q72" s="6">
        <f t="shared" si="9"/>
        <v>19.823330735255912</v>
      </c>
      <c r="R72" s="6">
        <f t="shared" si="10"/>
        <v>50</v>
      </c>
      <c r="S72" s="6">
        <f t="shared" si="11"/>
        <v>49.934469200524248</v>
      </c>
      <c r="T72" s="6">
        <f t="shared" si="12"/>
        <v>1884.7337013866454</v>
      </c>
      <c r="U72" s="6">
        <f t="shared" si="13"/>
        <v>19.847337013866458</v>
      </c>
    </row>
    <row r="73" spans="1:21" x14ac:dyDescent="0.3">
      <c r="A73" s="2">
        <v>45357</v>
      </c>
      <c r="B73" t="s">
        <v>16</v>
      </c>
      <c r="C73" t="s">
        <v>21</v>
      </c>
      <c r="D73" t="s">
        <v>26</v>
      </c>
      <c r="E73" t="s">
        <v>29</v>
      </c>
      <c r="F73">
        <v>207444</v>
      </c>
      <c r="G73">
        <v>12055</v>
      </c>
      <c r="H73">
        <v>2103</v>
      </c>
      <c r="I73">
        <v>1256</v>
      </c>
      <c r="J73">
        <v>542</v>
      </c>
      <c r="K73" s="4">
        <v>112399.62</v>
      </c>
      <c r="L73" s="4">
        <v>2091662.03</v>
      </c>
      <c r="M73" t="s">
        <v>33</v>
      </c>
      <c r="N73">
        <f t="shared" si="7"/>
        <v>1</v>
      </c>
      <c r="O73" t="str">
        <f>IF(AND(G73&lt;=F73,H73&lt;=G73,I73&lt;=H73,J73&lt;=I73),"OK","Check")</f>
        <v>OK</v>
      </c>
      <c r="P73" s="6">
        <f t="shared" si="8"/>
        <v>5.8112068799290411</v>
      </c>
      <c r="Q73" s="6">
        <f t="shared" si="9"/>
        <v>17.445043550394026</v>
      </c>
      <c r="R73" s="6">
        <f t="shared" si="10"/>
        <v>59.724203518782694</v>
      </c>
      <c r="S73" s="6">
        <f t="shared" si="11"/>
        <v>43.152866242038215</v>
      </c>
      <c r="T73" s="6">
        <f t="shared" si="12"/>
        <v>1760.9155707110044</v>
      </c>
      <c r="U73" s="6">
        <f t="shared" si="13"/>
        <v>18.609155707110041</v>
      </c>
    </row>
    <row r="74" spans="1:21" x14ac:dyDescent="0.3">
      <c r="A74" s="2">
        <v>45358</v>
      </c>
      <c r="B74" t="s">
        <v>13</v>
      </c>
      <c r="C74" t="s">
        <v>18</v>
      </c>
      <c r="D74" t="s">
        <v>23</v>
      </c>
      <c r="E74" t="s">
        <v>29</v>
      </c>
      <c r="F74">
        <v>125458</v>
      </c>
      <c r="G74">
        <v>8435</v>
      </c>
      <c r="H74">
        <v>1509</v>
      </c>
      <c r="I74">
        <v>693</v>
      </c>
      <c r="J74">
        <v>366</v>
      </c>
      <c r="K74" s="4">
        <v>66260.179999999993</v>
      </c>
      <c r="L74" s="4">
        <v>2398363.29</v>
      </c>
      <c r="M74" t="s">
        <v>34</v>
      </c>
      <c r="N74">
        <f t="shared" si="7"/>
        <v>1</v>
      </c>
      <c r="O74" t="str">
        <f>IF(AND(G74&lt;=F74,H74&lt;=G74,I74&lt;=H74,J74&lt;=I74),"OK","Check")</f>
        <v>OK</v>
      </c>
      <c r="P74" s="6">
        <f t="shared" si="8"/>
        <v>6.7233655884837953</v>
      </c>
      <c r="Q74" s="6">
        <f t="shared" si="9"/>
        <v>17.889745109662123</v>
      </c>
      <c r="R74" s="6">
        <f t="shared" si="10"/>
        <v>45.92445328031809</v>
      </c>
      <c r="S74" s="6">
        <f t="shared" si="11"/>
        <v>52.813852813852812</v>
      </c>
      <c r="T74" s="6">
        <f t="shared" si="12"/>
        <v>3519.61481239562</v>
      </c>
      <c r="U74" s="6">
        <f t="shared" si="13"/>
        <v>36.196148123956199</v>
      </c>
    </row>
    <row r="75" spans="1:21" x14ac:dyDescent="0.3">
      <c r="A75" s="2">
        <v>45358</v>
      </c>
      <c r="B75" t="s">
        <v>16</v>
      </c>
      <c r="C75" t="s">
        <v>21</v>
      </c>
      <c r="D75" t="s">
        <v>26</v>
      </c>
      <c r="E75" t="s">
        <v>30</v>
      </c>
      <c r="F75">
        <v>125186</v>
      </c>
      <c r="G75">
        <v>5438</v>
      </c>
      <c r="H75">
        <v>1013</v>
      </c>
      <c r="I75">
        <v>516</v>
      </c>
      <c r="J75">
        <v>288</v>
      </c>
      <c r="K75" s="4">
        <v>70257.17</v>
      </c>
      <c r="L75" s="4">
        <v>1655474.48</v>
      </c>
      <c r="M75" t="s">
        <v>35</v>
      </c>
      <c r="N75">
        <f t="shared" si="7"/>
        <v>1</v>
      </c>
      <c r="O75" t="str">
        <f>IF(AND(G75&lt;=F75,H75&lt;=G75,I75&lt;=H75,J75&lt;=I75),"OK","Check")</f>
        <v>OK</v>
      </c>
      <c r="P75" s="6">
        <f t="shared" si="8"/>
        <v>4.3439362229003242</v>
      </c>
      <c r="Q75" s="6">
        <f t="shared" si="9"/>
        <v>18.628172122103713</v>
      </c>
      <c r="R75" s="6">
        <f t="shared" si="10"/>
        <v>50.937808489634747</v>
      </c>
      <c r="S75" s="6">
        <f t="shared" si="11"/>
        <v>55.813953488372093</v>
      </c>
      <c r="T75" s="6">
        <f t="shared" si="12"/>
        <v>2256.3068082588584</v>
      </c>
      <c r="U75" s="6">
        <f t="shared" si="13"/>
        <v>23.563068082588583</v>
      </c>
    </row>
    <row r="76" spans="1:21" x14ac:dyDescent="0.3">
      <c r="A76" s="2">
        <v>45359</v>
      </c>
      <c r="B76" t="s">
        <v>13</v>
      </c>
      <c r="C76" t="s">
        <v>18</v>
      </c>
      <c r="D76" t="s">
        <v>23</v>
      </c>
      <c r="E76" t="s">
        <v>29</v>
      </c>
      <c r="F76">
        <v>52749</v>
      </c>
      <c r="G76">
        <v>3113</v>
      </c>
      <c r="H76">
        <v>594</v>
      </c>
      <c r="I76">
        <v>267</v>
      </c>
      <c r="J76">
        <v>132</v>
      </c>
      <c r="K76" s="4">
        <v>47097.46</v>
      </c>
      <c r="L76" s="4">
        <v>644765.61</v>
      </c>
      <c r="M76" t="s">
        <v>34</v>
      </c>
      <c r="N76">
        <f t="shared" si="7"/>
        <v>1</v>
      </c>
      <c r="O76" t="str">
        <f>IF(AND(G76&lt;=F76,H76&lt;=G76,I76&lt;=H76,J76&lt;=I76),"OK","Check")</f>
        <v>OK</v>
      </c>
      <c r="P76" s="6">
        <f t="shared" si="8"/>
        <v>5.9015336783635703</v>
      </c>
      <c r="Q76" s="6">
        <f t="shared" si="9"/>
        <v>19.081272084805654</v>
      </c>
      <c r="R76" s="6">
        <f t="shared" si="10"/>
        <v>44.949494949494948</v>
      </c>
      <c r="S76" s="6">
        <f t="shared" si="11"/>
        <v>49.438202247191008</v>
      </c>
      <c r="T76" s="6">
        <f t="shared" si="12"/>
        <v>1269.002935614787</v>
      </c>
      <c r="U76" s="6">
        <f t="shared" si="13"/>
        <v>13.690029356147869</v>
      </c>
    </row>
    <row r="77" spans="1:21" x14ac:dyDescent="0.3">
      <c r="A77" s="2">
        <v>45359</v>
      </c>
      <c r="B77" t="s">
        <v>16</v>
      </c>
      <c r="C77" t="s">
        <v>21</v>
      </c>
      <c r="D77" t="s">
        <v>26</v>
      </c>
      <c r="E77" t="s">
        <v>29</v>
      </c>
      <c r="F77">
        <v>153379</v>
      </c>
      <c r="G77">
        <v>7139</v>
      </c>
      <c r="H77">
        <v>1663</v>
      </c>
      <c r="I77">
        <v>957</v>
      </c>
      <c r="J77">
        <v>429</v>
      </c>
      <c r="K77" s="4">
        <v>102014.36</v>
      </c>
      <c r="L77" s="4">
        <v>1463624.77</v>
      </c>
      <c r="M77" t="s">
        <v>32</v>
      </c>
      <c r="N77">
        <f t="shared" si="7"/>
        <v>1</v>
      </c>
      <c r="O77" t="str">
        <f>IF(AND(G77&lt;=F77,H77&lt;=G77,I77&lt;=H77,J77&lt;=I77),"OK","Check")</f>
        <v>OK</v>
      </c>
      <c r="P77" s="6">
        <f t="shared" si="8"/>
        <v>4.654483338657835</v>
      </c>
      <c r="Q77" s="6">
        <f t="shared" si="9"/>
        <v>23.294579072699257</v>
      </c>
      <c r="R77" s="6">
        <f t="shared" si="10"/>
        <v>57.546602525556224</v>
      </c>
      <c r="S77" s="6">
        <f t="shared" si="11"/>
        <v>44.827586206896555</v>
      </c>
      <c r="T77" s="6">
        <f t="shared" si="12"/>
        <v>1334.7242584279311</v>
      </c>
      <c r="U77" s="6">
        <f t="shared" si="13"/>
        <v>14.347242584279311</v>
      </c>
    </row>
    <row r="78" spans="1:21" x14ac:dyDescent="0.3">
      <c r="A78" s="2">
        <v>45360</v>
      </c>
      <c r="B78" t="s">
        <v>13</v>
      </c>
      <c r="C78" t="s">
        <v>18</v>
      </c>
      <c r="D78" t="s">
        <v>23</v>
      </c>
      <c r="E78" t="s">
        <v>29</v>
      </c>
      <c r="F78">
        <v>55614</v>
      </c>
      <c r="G78">
        <v>3540</v>
      </c>
      <c r="H78">
        <v>572</v>
      </c>
      <c r="I78">
        <v>343</v>
      </c>
      <c r="J78">
        <v>154</v>
      </c>
      <c r="K78" s="4">
        <v>36078.71</v>
      </c>
      <c r="L78" s="4">
        <v>646246.86</v>
      </c>
      <c r="M78" t="s">
        <v>33</v>
      </c>
      <c r="N78">
        <f t="shared" si="7"/>
        <v>1</v>
      </c>
      <c r="O78" t="str">
        <f>IF(AND(G78&lt;=F78,H78&lt;=G78,I78&lt;=H78,J78&lt;=I78),"OK","Check")</f>
        <v>OK</v>
      </c>
      <c r="P78" s="6">
        <f t="shared" si="8"/>
        <v>6.3653037005070665</v>
      </c>
      <c r="Q78" s="6">
        <f t="shared" si="9"/>
        <v>16.158192090395477</v>
      </c>
      <c r="R78" s="6">
        <f t="shared" si="10"/>
        <v>59.965034965034967</v>
      </c>
      <c r="S78" s="6">
        <f t="shared" si="11"/>
        <v>44.897959183673471</v>
      </c>
      <c r="T78" s="6">
        <f t="shared" si="12"/>
        <v>1691.2138765493555</v>
      </c>
      <c r="U78" s="6">
        <f t="shared" si="13"/>
        <v>17.912138765493555</v>
      </c>
    </row>
    <row r="79" spans="1:21" x14ac:dyDescent="0.3">
      <c r="A79" s="2">
        <v>45360</v>
      </c>
      <c r="B79" t="s">
        <v>16</v>
      </c>
      <c r="C79" t="s">
        <v>21</v>
      </c>
      <c r="D79" t="s">
        <v>26</v>
      </c>
      <c r="E79" t="s">
        <v>29</v>
      </c>
      <c r="F79">
        <v>123685</v>
      </c>
      <c r="G79">
        <v>8520</v>
      </c>
      <c r="H79">
        <v>2108</v>
      </c>
      <c r="I79">
        <v>1010</v>
      </c>
      <c r="J79">
        <v>406</v>
      </c>
      <c r="K79" s="4">
        <v>122048.41</v>
      </c>
      <c r="L79" s="4">
        <v>1454477.2</v>
      </c>
      <c r="M79" t="s">
        <v>32</v>
      </c>
      <c r="N79">
        <f t="shared" si="7"/>
        <v>1</v>
      </c>
      <c r="O79" t="str">
        <f>IF(AND(G79&lt;=F79,H79&lt;=G79,I79&lt;=H79,J79&lt;=I79),"OK","Check")</f>
        <v>OK</v>
      </c>
      <c r="P79" s="6">
        <f t="shared" si="8"/>
        <v>6.8884666693616854</v>
      </c>
      <c r="Q79" s="6">
        <f t="shared" si="9"/>
        <v>24.741784037558688</v>
      </c>
      <c r="R79" s="6">
        <f t="shared" si="10"/>
        <v>47.91271347248577</v>
      </c>
      <c r="S79" s="6">
        <f t="shared" si="11"/>
        <v>40.198019801980202</v>
      </c>
      <c r="T79" s="6">
        <f t="shared" si="12"/>
        <v>1091.7215472122907</v>
      </c>
      <c r="U79" s="6">
        <f t="shared" si="13"/>
        <v>11.917215472122905</v>
      </c>
    </row>
    <row r="80" spans="1:21" x14ac:dyDescent="0.3">
      <c r="A80" s="2">
        <v>45361</v>
      </c>
      <c r="B80" t="s">
        <v>13</v>
      </c>
      <c r="C80" t="s">
        <v>18</v>
      </c>
      <c r="D80" t="s">
        <v>23</v>
      </c>
      <c r="E80" t="s">
        <v>29</v>
      </c>
      <c r="F80">
        <v>160586</v>
      </c>
      <c r="G80">
        <v>9019</v>
      </c>
      <c r="H80">
        <v>1457</v>
      </c>
      <c r="I80">
        <v>790</v>
      </c>
      <c r="J80">
        <v>427</v>
      </c>
      <c r="K80" s="4">
        <v>118320.36</v>
      </c>
      <c r="L80" s="4">
        <v>2536804.91</v>
      </c>
      <c r="M80" t="s">
        <v>33</v>
      </c>
      <c r="N80">
        <f t="shared" si="7"/>
        <v>1</v>
      </c>
      <c r="O80" t="str">
        <f>IF(AND(G80&lt;=F80,H80&lt;=G80,I80&lt;=H80,J80&lt;=I80),"OK","Check")</f>
        <v>OK</v>
      </c>
      <c r="P80" s="6">
        <f t="shared" si="8"/>
        <v>5.6163052819050225</v>
      </c>
      <c r="Q80" s="6">
        <f t="shared" si="9"/>
        <v>16.154784344162323</v>
      </c>
      <c r="R80" s="6">
        <f t="shared" si="10"/>
        <v>54.221002059025395</v>
      </c>
      <c r="S80" s="6">
        <f t="shared" si="11"/>
        <v>54.050632911392405</v>
      </c>
      <c r="T80" s="6">
        <f t="shared" si="12"/>
        <v>2044.0138535751582</v>
      </c>
      <c r="U80" s="6">
        <f t="shared" si="13"/>
        <v>21.440138535751583</v>
      </c>
    </row>
    <row r="81" spans="1:21" x14ac:dyDescent="0.3">
      <c r="A81" s="2">
        <v>45361</v>
      </c>
      <c r="B81" t="s">
        <v>16</v>
      </c>
      <c r="C81" t="s">
        <v>21</v>
      </c>
      <c r="D81" t="s">
        <v>26</v>
      </c>
      <c r="E81" t="s">
        <v>30</v>
      </c>
      <c r="F81">
        <v>226639</v>
      </c>
      <c r="G81">
        <v>12635</v>
      </c>
      <c r="H81">
        <v>2302</v>
      </c>
      <c r="I81">
        <v>1218</v>
      </c>
      <c r="J81">
        <v>650</v>
      </c>
      <c r="K81" s="4">
        <v>199476.34</v>
      </c>
      <c r="L81" s="4">
        <v>3964941.02</v>
      </c>
      <c r="M81" t="s">
        <v>31</v>
      </c>
      <c r="N81">
        <f t="shared" si="7"/>
        <v>1</v>
      </c>
      <c r="O81" t="str">
        <f>IF(AND(G81&lt;=F81,H81&lt;=G81,I81&lt;=H81,J81&lt;=I81),"OK","Check")</f>
        <v>OK</v>
      </c>
      <c r="P81" s="6">
        <f t="shared" si="8"/>
        <v>5.574945177131915</v>
      </c>
      <c r="Q81" s="6">
        <f t="shared" si="9"/>
        <v>18.219232291254453</v>
      </c>
      <c r="R81" s="6">
        <f t="shared" si="10"/>
        <v>52.910512597741096</v>
      </c>
      <c r="S81" s="6">
        <f t="shared" si="11"/>
        <v>53.366174055829227</v>
      </c>
      <c r="T81" s="6">
        <f t="shared" si="12"/>
        <v>1887.6748390310349</v>
      </c>
      <c r="U81" s="6">
        <f t="shared" si="13"/>
        <v>19.87674839031035</v>
      </c>
    </row>
    <row r="82" spans="1:21" x14ac:dyDescent="0.3">
      <c r="A82" s="2">
        <v>45362</v>
      </c>
      <c r="B82" t="s">
        <v>13</v>
      </c>
      <c r="C82" t="s">
        <v>18</v>
      </c>
      <c r="D82" t="s">
        <v>23</v>
      </c>
      <c r="E82" t="s">
        <v>29</v>
      </c>
      <c r="F82">
        <v>73407</v>
      </c>
      <c r="G82">
        <v>5606</v>
      </c>
      <c r="H82">
        <v>883</v>
      </c>
      <c r="I82">
        <v>498</v>
      </c>
      <c r="J82">
        <v>256</v>
      </c>
      <c r="K82" s="4">
        <v>70482.990000000005</v>
      </c>
      <c r="L82" s="4">
        <v>1018845.71</v>
      </c>
      <c r="M82" t="s">
        <v>34</v>
      </c>
      <c r="N82">
        <f t="shared" si="7"/>
        <v>1</v>
      </c>
      <c r="O82" t="str">
        <f>IF(AND(G82&lt;=F82,H82&lt;=G82,I82&lt;=H82,J82&lt;=I82),"OK","Check")</f>
        <v>OK</v>
      </c>
      <c r="P82" s="6">
        <f t="shared" si="8"/>
        <v>7.6368738676148045</v>
      </c>
      <c r="Q82" s="6">
        <f t="shared" si="9"/>
        <v>15.750981091687477</v>
      </c>
      <c r="R82" s="6">
        <f t="shared" si="10"/>
        <v>56.398640996602488</v>
      </c>
      <c r="S82" s="6">
        <f t="shared" si="11"/>
        <v>51.405622489959832</v>
      </c>
      <c r="T82" s="6">
        <f t="shared" si="12"/>
        <v>1345.5199900004241</v>
      </c>
      <c r="U82" s="6">
        <f t="shared" si="13"/>
        <v>14.45519990000424</v>
      </c>
    </row>
    <row r="83" spans="1:21" x14ac:dyDescent="0.3">
      <c r="A83" s="2">
        <v>45362</v>
      </c>
      <c r="B83" t="s">
        <v>16</v>
      </c>
      <c r="C83" t="s">
        <v>21</v>
      </c>
      <c r="D83" t="s">
        <v>26</v>
      </c>
      <c r="E83" t="s">
        <v>28</v>
      </c>
      <c r="F83">
        <v>213309</v>
      </c>
      <c r="G83">
        <v>8042</v>
      </c>
      <c r="H83">
        <v>1913</v>
      </c>
      <c r="I83">
        <v>1209</v>
      </c>
      <c r="J83">
        <v>533</v>
      </c>
      <c r="K83" s="4">
        <v>164269.5</v>
      </c>
      <c r="L83" s="4">
        <v>4063881.15</v>
      </c>
      <c r="M83" t="s">
        <v>33</v>
      </c>
      <c r="N83">
        <f t="shared" si="7"/>
        <v>1</v>
      </c>
      <c r="O83" t="str">
        <f>IF(AND(G83&lt;=F83,H83&lt;=G83,I83&lt;=H83,J83&lt;=I83),"OK","Check")</f>
        <v>OK</v>
      </c>
      <c r="P83" s="6">
        <f t="shared" si="8"/>
        <v>3.7701175290306552</v>
      </c>
      <c r="Q83" s="6">
        <f t="shared" si="9"/>
        <v>23.787615021139018</v>
      </c>
      <c r="R83" s="6">
        <f t="shared" si="10"/>
        <v>63.199163617354934</v>
      </c>
      <c r="S83" s="6">
        <f t="shared" si="11"/>
        <v>44.086021505376344</v>
      </c>
      <c r="T83" s="6">
        <f t="shared" si="12"/>
        <v>2373.9109512112714</v>
      </c>
      <c r="U83" s="6">
        <f t="shared" si="13"/>
        <v>24.739109512112716</v>
      </c>
    </row>
    <row r="84" spans="1:21" x14ac:dyDescent="0.3">
      <c r="A84" s="2">
        <v>45363</v>
      </c>
      <c r="B84" t="s">
        <v>13</v>
      </c>
      <c r="C84" t="s">
        <v>18</v>
      </c>
      <c r="D84" t="s">
        <v>23</v>
      </c>
      <c r="E84" t="s">
        <v>29</v>
      </c>
      <c r="F84">
        <v>216597</v>
      </c>
      <c r="G84">
        <v>15507</v>
      </c>
      <c r="H84">
        <v>2335</v>
      </c>
      <c r="I84">
        <v>1445</v>
      </c>
      <c r="J84">
        <v>726</v>
      </c>
      <c r="K84" s="4">
        <v>192461.62</v>
      </c>
      <c r="L84" s="4">
        <v>2305973.39</v>
      </c>
      <c r="M84" t="s">
        <v>33</v>
      </c>
      <c r="N84">
        <f t="shared" si="7"/>
        <v>1</v>
      </c>
      <c r="O84" t="str">
        <f>IF(AND(G84&lt;=F84,H84&lt;=G84,I84&lt;=H84,J84&lt;=I84),"OK","Check")</f>
        <v>OK</v>
      </c>
      <c r="P84" s="6">
        <f t="shared" si="8"/>
        <v>7.1593789387664657</v>
      </c>
      <c r="Q84" s="6">
        <f t="shared" si="9"/>
        <v>15.057715870252144</v>
      </c>
      <c r="R84" s="6">
        <f t="shared" si="10"/>
        <v>61.884368308351178</v>
      </c>
      <c r="S84" s="6">
        <f t="shared" si="11"/>
        <v>50.242214532871976</v>
      </c>
      <c r="T84" s="6">
        <f t="shared" si="12"/>
        <v>1098.1471370759532</v>
      </c>
      <c r="U84" s="6">
        <f t="shared" si="13"/>
        <v>11.981471370759532</v>
      </c>
    </row>
    <row r="85" spans="1:21" x14ac:dyDescent="0.3">
      <c r="A85" s="2">
        <v>45363</v>
      </c>
      <c r="B85" t="s">
        <v>16</v>
      </c>
      <c r="C85" t="s">
        <v>21</v>
      </c>
      <c r="D85" t="s">
        <v>26</v>
      </c>
      <c r="E85" t="s">
        <v>30</v>
      </c>
      <c r="F85">
        <v>226506</v>
      </c>
      <c r="G85">
        <v>7970</v>
      </c>
      <c r="H85">
        <v>1292</v>
      </c>
      <c r="I85">
        <v>750</v>
      </c>
      <c r="J85">
        <v>420</v>
      </c>
      <c r="K85" s="4">
        <v>175994.8</v>
      </c>
      <c r="L85" s="4">
        <v>2066586.58</v>
      </c>
      <c r="M85" t="s">
        <v>31</v>
      </c>
      <c r="N85">
        <f t="shared" si="7"/>
        <v>1</v>
      </c>
      <c r="O85" t="str">
        <f>IF(AND(G85&lt;=F85,H85&lt;=G85,I85&lt;=H85,J85&lt;=I85),"OK","Check")</f>
        <v>OK</v>
      </c>
      <c r="P85" s="6">
        <f t="shared" si="8"/>
        <v>3.5186705870926156</v>
      </c>
      <c r="Q85" s="6">
        <f t="shared" si="9"/>
        <v>16.210790464240905</v>
      </c>
      <c r="R85" s="6">
        <f t="shared" si="10"/>
        <v>58.049535603715171</v>
      </c>
      <c r="S85" s="6">
        <f t="shared" si="11"/>
        <v>56.000000000000007</v>
      </c>
      <c r="T85" s="6">
        <f t="shared" si="12"/>
        <v>1074.2316136613128</v>
      </c>
      <c r="U85" s="6">
        <f t="shared" si="13"/>
        <v>11.742316136613129</v>
      </c>
    </row>
    <row r="86" spans="1:21" x14ac:dyDescent="0.3">
      <c r="A86" s="2">
        <v>45364</v>
      </c>
      <c r="B86" t="s">
        <v>13</v>
      </c>
      <c r="C86" t="s">
        <v>18</v>
      </c>
      <c r="D86" t="s">
        <v>23</v>
      </c>
      <c r="E86" t="s">
        <v>29</v>
      </c>
      <c r="F86">
        <v>175194</v>
      </c>
      <c r="G86">
        <v>5344</v>
      </c>
      <c r="H86">
        <v>957</v>
      </c>
      <c r="I86">
        <v>551</v>
      </c>
      <c r="J86">
        <v>261</v>
      </c>
      <c r="K86" s="4">
        <v>169204.3</v>
      </c>
      <c r="L86" s="4">
        <v>976767.04</v>
      </c>
      <c r="M86" t="s">
        <v>34</v>
      </c>
      <c r="N86">
        <f t="shared" si="7"/>
        <v>1</v>
      </c>
      <c r="O86" t="str">
        <f>IF(AND(G86&lt;=F86,H86&lt;=G86,I86&lt;=H86,J86&lt;=I86),"OK","Check")</f>
        <v>OK</v>
      </c>
      <c r="P86" s="6">
        <f t="shared" si="8"/>
        <v>3.0503327739534458</v>
      </c>
      <c r="Q86" s="6">
        <f t="shared" si="9"/>
        <v>17.907934131736528</v>
      </c>
      <c r="R86" s="6">
        <f t="shared" si="10"/>
        <v>57.575757575757578</v>
      </c>
      <c r="S86" s="6">
        <f t="shared" si="11"/>
        <v>47.368421052631575</v>
      </c>
      <c r="T86" s="6">
        <f t="shared" si="12"/>
        <v>477.27081403959596</v>
      </c>
      <c r="U86" s="6">
        <f t="shared" si="13"/>
        <v>5.7727081403959595</v>
      </c>
    </row>
    <row r="87" spans="1:21" x14ac:dyDescent="0.3">
      <c r="A87" s="2">
        <v>45364</v>
      </c>
      <c r="B87" t="s">
        <v>16</v>
      </c>
      <c r="C87" t="s">
        <v>21</v>
      </c>
      <c r="D87" t="s">
        <v>26</v>
      </c>
      <c r="E87" t="s">
        <v>28</v>
      </c>
      <c r="F87">
        <v>185895</v>
      </c>
      <c r="G87">
        <v>10159</v>
      </c>
      <c r="H87">
        <v>1559</v>
      </c>
      <c r="I87">
        <v>796</v>
      </c>
      <c r="J87">
        <v>319</v>
      </c>
      <c r="K87" s="4">
        <v>152446.60999999999</v>
      </c>
      <c r="L87" s="4">
        <v>2203003.63</v>
      </c>
      <c r="M87" t="s">
        <v>35</v>
      </c>
      <c r="N87">
        <f t="shared" si="7"/>
        <v>1</v>
      </c>
      <c r="O87" t="str">
        <f>IF(AND(G87&lt;=F87,H87&lt;=G87,I87&lt;=H87,J87&lt;=I87),"OK","Check")</f>
        <v>OK</v>
      </c>
      <c r="P87" s="6">
        <f t="shared" si="8"/>
        <v>5.4649129885150218</v>
      </c>
      <c r="Q87" s="6">
        <f t="shared" si="9"/>
        <v>15.345998621911605</v>
      </c>
      <c r="R87" s="6">
        <f t="shared" si="10"/>
        <v>51.058370750481075</v>
      </c>
      <c r="S87" s="6">
        <f t="shared" si="11"/>
        <v>40.075376884422113</v>
      </c>
      <c r="T87" s="6">
        <f t="shared" si="12"/>
        <v>1345.0984708679321</v>
      </c>
      <c r="U87" s="6">
        <f t="shared" si="13"/>
        <v>14.450984708679321</v>
      </c>
    </row>
    <row r="88" spans="1:21" x14ac:dyDescent="0.3">
      <c r="A88" s="2">
        <v>45365</v>
      </c>
      <c r="B88" t="s">
        <v>13</v>
      </c>
      <c r="C88" t="s">
        <v>18</v>
      </c>
      <c r="D88" t="s">
        <v>23</v>
      </c>
      <c r="E88" t="s">
        <v>29</v>
      </c>
      <c r="F88">
        <v>188495</v>
      </c>
      <c r="G88">
        <v>10549</v>
      </c>
      <c r="H88">
        <v>1800</v>
      </c>
      <c r="I88">
        <v>1004</v>
      </c>
      <c r="J88">
        <v>441</v>
      </c>
      <c r="K88" s="4">
        <v>182807.04000000001</v>
      </c>
      <c r="L88" s="4">
        <v>2268459.2400000002</v>
      </c>
      <c r="M88" t="s">
        <v>34</v>
      </c>
      <c r="N88">
        <f t="shared" si="7"/>
        <v>1</v>
      </c>
      <c r="O88" t="str">
        <f>IF(AND(G88&lt;=F88,H88&lt;=G88,I88&lt;=H88,J88&lt;=I88),"OK","Check")</f>
        <v>OK</v>
      </c>
      <c r="P88" s="6">
        <f t="shared" si="8"/>
        <v>5.5964349186981091</v>
      </c>
      <c r="Q88" s="6">
        <f t="shared" si="9"/>
        <v>17.063228742060861</v>
      </c>
      <c r="R88" s="6">
        <f t="shared" si="10"/>
        <v>55.777777777777779</v>
      </c>
      <c r="S88" s="6">
        <f t="shared" si="11"/>
        <v>43.924302788844621</v>
      </c>
      <c r="T88" s="6">
        <f t="shared" si="12"/>
        <v>1140.9036544763267</v>
      </c>
      <c r="U88" s="6">
        <f t="shared" si="13"/>
        <v>12.409036544763266</v>
      </c>
    </row>
    <row r="89" spans="1:21" x14ac:dyDescent="0.3">
      <c r="A89" s="2">
        <v>45365</v>
      </c>
      <c r="B89" t="s">
        <v>16</v>
      </c>
      <c r="C89" t="s">
        <v>21</v>
      </c>
      <c r="D89" t="s">
        <v>26</v>
      </c>
      <c r="E89" t="s">
        <v>28</v>
      </c>
      <c r="F89">
        <v>61348</v>
      </c>
      <c r="G89">
        <v>4749</v>
      </c>
      <c r="H89">
        <v>863</v>
      </c>
      <c r="I89">
        <v>560</v>
      </c>
      <c r="J89">
        <v>278</v>
      </c>
      <c r="K89" s="4">
        <v>41334.61</v>
      </c>
      <c r="L89" s="4">
        <v>2016292.77</v>
      </c>
      <c r="M89" t="s">
        <v>31</v>
      </c>
      <c r="N89">
        <f t="shared" si="7"/>
        <v>1</v>
      </c>
      <c r="O89" t="str">
        <f>IF(AND(G89&lt;=F89,H89&lt;=G89,I89&lt;=H89,J89&lt;=I89),"OK","Check")</f>
        <v>OK</v>
      </c>
      <c r="P89" s="6">
        <f t="shared" si="8"/>
        <v>7.7410836539088477</v>
      </c>
      <c r="Q89" s="6">
        <f t="shared" si="9"/>
        <v>18.17224678879764</v>
      </c>
      <c r="R89" s="6">
        <f t="shared" si="10"/>
        <v>64.889918887601397</v>
      </c>
      <c r="S89" s="6">
        <f t="shared" si="11"/>
        <v>49.642857142857146</v>
      </c>
      <c r="T89" s="6">
        <f t="shared" si="12"/>
        <v>4777.9770028070907</v>
      </c>
      <c r="U89" s="6">
        <f t="shared" si="13"/>
        <v>48.779770028070907</v>
      </c>
    </row>
    <row r="90" spans="1:21" x14ac:dyDescent="0.3">
      <c r="A90" s="2">
        <v>45366</v>
      </c>
      <c r="B90" t="s">
        <v>13</v>
      </c>
      <c r="C90" t="s">
        <v>18</v>
      </c>
      <c r="D90" t="s">
        <v>23</v>
      </c>
      <c r="E90" t="s">
        <v>29</v>
      </c>
      <c r="F90">
        <v>100344</v>
      </c>
      <c r="G90">
        <v>8008</v>
      </c>
      <c r="H90">
        <v>1473</v>
      </c>
      <c r="I90">
        <v>816</v>
      </c>
      <c r="J90">
        <v>424</v>
      </c>
      <c r="K90" s="4">
        <v>77929.710000000006</v>
      </c>
      <c r="L90" s="4">
        <v>1344335.07</v>
      </c>
      <c r="M90" t="s">
        <v>35</v>
      </c>
      <c r="N90">
        <f t="shared" si="7"/>
        <v>1</v>
      </c>
      <c r="O90" t="str">
        <f>IF(AND(G90&lt;=F90,H90&lt;=G90,I90&lt;=H90,J90&lt;=I90),"OK","Check")</f>
        <v>OK</v>
      </c>
      <c r="P90" s="6">
        <f t="shared" si="8"/>
        <v>7.980546918600016</v>
      </c>
      <c r="Q90" s="6">
        <f t="shared" si="9"/>
        <v>18.394105894105895</v>
      </c>
      <c r="R90" s="6">
        <f t="shared" si="10"/>
        <v>55.397148676171085</v>
      </c>
      <c r="S90" s="6">
        <f t="shared" si="11"/>
        <v>51.960784313725497</v>
      </c>
      <c r="T90" s="6">
        <f t="shared" si="12"/>
        <v>1625.0610453959086</v>
      </c>
      <c r="U90" s="6">
        <f t="shared" si="13"/>
        <v>17.250610453959087</v>
      </c>
    </row>
    <row r="91" spans="1:21" x14ac:dyDescent="0.3">
      <c r="A91" s="2">
        <v>45366</v>
      </c>
      <c r="B91" t="s">
        <v>16</v>
      </c>
      <c r="C91" t="s">
        <v>21</v>
      </c>
      <c r="D91" t="s">
        <v>26</v>
      </c>
      <c r="E91" t="s">
        <v>28</v>
      </c>
      <c r="F91">
        <v>194652</v>
      </c>
      <c r="G91">
        <v>12957</v>
      </c>
      <c r="H91">
        <v>2628</v>
      </c>
      <c r="I91">
        <v>1452</v>
      </c>
      <c r="J91">
        <v>793</v>
      </c>
      <c r="K91" s="4">
        <v>188268.91</v>
      </c>
      <c r="L91" s="4">
        <v>5847270.2300000004</v>
      </c>
      <c r="M91" t="s">
        <v>35</v>
      </c>
      <c r="N91">
        <f t="shared" si="7"/>
        <v>1</v>
      </c>
      <c r="O91" t="str">
        <f>IF(AND(G91&lt;=F91,H91&lt;=G91,I91&lt;=H91,J91&lt;=I91),"OK","Check")</f>
        <v>OK</v>
      </c>
      <c r="P91" s="6">
        <f t="shared" si="8"/>
        <v>6.6564946674064487</v>
      </c>
      <c r="Q91" s="6">
        <f t="shared" si="9"/>
        <v>20.282472794628386</v>
      </c>
      <c r="R91" s="6">
        <f t="shared" si="10"/>
        <v>55.25114155251142</v>
      </c>
      <c r="S91" s="6">
        <f t="shared" si="11"/>
        <v>54.614325068870528</v>
      </c>
      <c r="T91" s="6">
        <f t="shared" si="12"/>
        <v>3005.8076609674958</v>
      </c>
      <c r="U91" s="6">
        <f t="shared" si="13"/>
        <v>31.058076609674959</v>
      </c>
    </row>
    <row r="92" spans="1:21" x14ac:dyDescent="0.3">
      <c r="A92" s="2">
        <v>45367</v>
      </c>
      <c r="B92" t="s">
        <v>13</v>
      </c>
      <c r="C92" t="s">
        <v>18</v>
      </c>
      <c r="D92" t="s">
        <v>23</v>
      </c>
      <c r="E92" t="s">
        <v>29</v>
      </c>
      <c r="F92">
        <v>275868</v>
      </c>
      <c r="G92">
        <v>10436</v>
      </c>
      <c r="H92">
        <v>1877</v>
      </c>
      <c r="I92">
        <v>1023</v>
      </c>
      <c r="J92">
        <v>453</v>
      </c>
      <c r="K92" s="4">
        <v>133644.66</v>
      </c>
      <c r="L92" s="4">
        <v>2895845.33</v>
      </c>
      <c r="M92" t="s">
        <v>34</v>
      </c>
      <c r="N92">
        <f t="shared" si="7"/>
        <v>1</v>
      </c>
      <c r="O92" t="str">
        <f>IF(AND(G92&lt;=F92,H92&lt;=G92,I92&lt;=H92,J92&lt;=I92),"OK","Check")</f>
        <v>OK</v>
      </c>
      <c r="P92" s="6">
        <f t="shared" si="8"/>
        <v>3.782968666173677</v>
      </c>
      <c r="Q92" s="6">
        <f t="shared" si="9"/>
        <v>17.985818321195861</v>
      </c>
      <c r="R92" s="6">
        <f t="shared" si="10"/>
        <v>54.501864677677148</v>
      </c>
      <c r="S92" s="6">
        <f t="shared" si="11"/>
        <v>44.281524926686217</v>
      </c>
      <c r="T92" s="6">
        <f t="shared" si="12"/>
        <v>2066.8245704691826</v>
      </c>
      <c r="U92" s="6">
        <f t="shared" si="13"/>
        <v>21.668245704691831</v>
      </c>
    </row>
    <row r="93" spans="1:21" x14ac:dyDescent="0.3">
      <c r="A93" s="2">
        <v>45367</v>
      </c>
      <c r="B93" t="s">
        <v>16</v>
      </c>
      <c r="C93" t="s">
        <v>21</v>
      </c>
      <c r="D93" t="s">
        <v>26</v>
      </c>
      <c r="E93" t="s">
        <v>28</v>
      </c>
      <c r="F93">
        <v>144241</v>
      </c>
      <c r="G93">
        <v>6954</v>
      </c>
      <c r="H93">
        <v>1273</v>
      </c>
      <c r="I93">
        <v>706</v>
      </c>
      <c r="J93">
        <v>292</v>
      </c>
      <c r="K93" s="4">
        <v>70141.8</v>
      </c>
      <c r="L93" s="4">
        <v>1034342.01</v>
      </c>
      <c r="M93" t="s">
        <v>35</v>
      </c>
      <c r="N93">
        <f t="shared" si="7"/>
        <v>1</v>
      </c>
      <c r="O93" t="str">
        <f>IF(AND(G93&lt;=F93,H93&lt;=G93,I93&lt;=H93,J93&lt;=I93),"OK","Check")</f>
        <v>OK</v>
      </c>
      <c r="P93" s="6">
        <f t="shared" si="8"/>
        <v>4.8210980234468703</v>
      </c>
      <c r="Q93" s="6">
        <f t="shared" si="9"/>
        <v>18.306010928961751</v>
      </c>
      <c r="R93" s="6">
        <f t="shared" si="10"/>
        <v>55.459544383346426</v>
      </c>
      <c r="S93" s="6">
        <f t="shared" si="11"/>
        <v>41.359773371104815</v>
      </c>
      <c r="T93" s="6">
        <f t="shared" si="12"/>
        <v>1374.6442349640299</v>
      </c>
      <c r="U93" s="6">
        <f t="shared" si="13"/>
        <v>14.746442349640299</v>
      </c>
    </row>
    <row r="94" spans="1:21" x14ac:dyDescent="0.3">
      <c r="A94" s="2">
        <v>45368</v>
      </c>
      <c r="B94" t="s">
        <v>13</v>
      </c>
      <c r="C94" t="s">
        <v>18</v>
      </c>
      <c r="D94" t="s">
        <v>23</v>
      </c>
      <c r="E94" t="s">
        <v>29</v>
      </c>
      <c r="F94">
        <v>292584</v>
      </c>
      <c r="G94">
        <v>23331</v>
      </c>
      <c r="H94">
        <v>3605</v>
      </c>
      <c r="I94">
        <v>1899</v>
      </c>
      <c r="J94">
        <v>921</v>
      </c>
      <c r="K94" s="4">
        <v>169598.15</v>
      </c>
      <c r="L94" s="4">
        <v>3162278.82</v>
      </c>
      <c r="M94" t="s">
        <v>34</v>
      </c>
      <c r="N94">
        <f t="shared" si="7"/>
        <v>1</v>
      </c>
      <c r="O94" t="str">
        <f>IF(AND(G94&lt;=F94,H94&lt;=G94,I94&lt;=H94,J94&lt;=I94),"OK","Check")</f>
        <v>OK</v>
      </c>
      <c r="P94" s="6">
        <f t="shared" si="8"/>
        <v>7.9741202526453945</v>
      </c>
      <c r="Q94" s="6">
        <f t="shared" si="9"/>
        <v>15.451545154515451</v>
      </c>
      <c r="R94" s="6">
        <f t="shared" si="10"/>
        <v>52.676837725381418</v>
      </c>
      <c r="S94" s="6">
        <f t="shared" si="11"/>
        <v>48.499210110584521</v>
      </c>
      <c r="T94" s="6">
        <f t="shared" si="12"/>
        <v>1764.5715298191635</v>
      </c>
      <c r="U94" s="6">
        <f t="shared" si="13"/>
        <v>18.645715298191636</v>
      </c>
    </row>
    <row r="95" spans="1:21" x14ac:dyDescent="0.3">
      <c r="A95" s="2">
        <v>45368</v>
      </c>
      <c r="B95" t="s">
        <v>16</v>
      </c>
      <c r="C95" t="s">
        <v>21</v>
      </c>
      <c r="D95" t="s">
        <v>26</v>
      </c>
      <c r="E95" t="s">
        <v>30</v>
      </c>
      <c r="F95">
        <v>117460</v>
      </c>
      <c r="G95">
        <v>8173</v>
      </c>
      <c r="H95">
        <v>1756</v>
      </c>
      <c r="I95">
        <v>887</v>
      </c>
      <c r="J95">
        <v>365</v>
      </c>
      <c r="K95" s="4">
        <v>93791.14</v>
      </c>
      <c r="L95" s="4">
        <v>1580107.16</v>
      </c>
      <c r="M95" t="s">
        <v>32</v>
      </c>
      <c r="N95">
        <f t="shared" si="7"/>
        <v>1</v>
      </c>
      <c r="O95" t="str">
        <f>IF(AND(G95&lt;=F95,H95&lt;=G95,I95&lt;=H95,J95&lt;=I95),"OK","Check")</f>
        <v>OK</v>
      </c>
      <c r="P95" s="6">
        <f t="shared" si="8"/>
        <v>6.9581134003064875</v>
      </c>
      <c r="Q95" s="6">
        <f t="shared" si="9"/>
        <v>21.485378685917045</v>
      </c>
      <c r="R95" s="6">
        <f t="shared" si="10"/>
        <v>50.512528473804096</v>
      </c>
      <c r="S95" s="6">
        <f t="shared" si="11"/>
        <v>41.149943630214203</v>
      </c>
      <c r="T95" s="6">
        <f t="shared" si="12"/>
        <v>1584.7083423871379</v>
      </c>
      <c r="U95" s="6">
        <f t="shared" si="13"/>
        <v>16.847083423871378</v>
      </c>
    </row>
    <row r="96" spans="1:21" x14ac:dyDescent="0.3">
      <c r="A96" s="2">
        <v>45369</v>
      </c>
      <c r="B96" t="s">
        <v>13</v>
      </c>
      <c r="C96" t="s">
        <v>18</v>
      </c>
      <c r="D96" t="s">
        <v>23</v>
      </c>
      <c r="E96" t="s">
        <v>29</v>
      </c>
      <c r="F96">
        <v>160356</v>
      </c>
      <c r="G96">
        <v>10619</v>
      </c>
      <c r="H96">
        <v>2317</v>
      </c>
      <c r="I96">
        <v>1167</v>
      </c>
      <c r="J96">
        <v>687</v>
      </c>
      <c r="K96" s="4">
        <v>89639.34</v>
      </c>
      <c r="L96" s="4">
        <v>4671783.2</v>
      </c>
      <c r="M96" t="s">
        <v>32</v>
      </c>
      <c r="N96">
        <f t="shared" si="7"/>
        <v>1</v>
      </c>
      <c r="O96" t="str">
        <f>IF(AND(G96&lt;=F96,H96&lt;=G96,I96&lt;=H96,J96&lt;=I96),"OK","Check")</f>
        <v>OK</v>
      </c>
      <c r="P96" s="6">
        <f t="shared" si="8"/>
        <v>6.6221407368604854</v>
      </c>
      <c r="Q96" s="6">
        <f t="shared" si="9"/>
        <v>21.819380355965723</v>
      </c>
      <c r="R96" s="6">
        <f t="shared" si="10"/>
        <v>50.366853690116528</v>
      </c>
      <c r="S96" s="6">
        <f t="shared" si="11"/>
        <v>58.868894601542422</v>
      </c>
      <c r="T96" s="6">
        <f t="shared" si="12"/>
        <v>5111.7554636167561</v>
      </c>
      <c r="U96" s="6">
        <f t="shared" si="13"/>
        <v>52.117554636167561</v>
      </c>
    </row>
    <row r="97" spans="1:21" x14ac:dyDescent="0.3">
      <c r="A97" s="2">
        <v>45369</v>
      </c>
      <c r="B97" t="s">
        <v>16</v>
      </c>
      <c r="C97" t="s">
        <v>21</v>
      </c>
      <c r="D97" t="s">
        <v>26</v>
      </c>
      <c r="E97" t="s">
        <v>29</v>
      </c>
      <c r="F97">
        <v>58163</v>
      </c>
      <c r="G97">
        <v>3769</v>
      </c>
      <c r="H97">
        <v>797</v>
      </c>
      <c r="I97">
        <v>395</v>
      </c>
      <c r="J97">
        <v>178</v>
      </c>
      <c r="K97" s="4">
        <v>25554.54</v>
      </c>
      <c r="L97" s="4">
        <v>1293768.1399999999</v>
      </c>
      <c r="M97" t="s">
        <v>33</v>
      </c>
      <c r="N97">
        <f t="shared" si="7"/>
        <v>1</v>
      </c>
      <c r="O97" t="str">
        <f>IF(AND(G97&lt;=F97,H97&lt;=G97,I97&lt;=H97,J97&lt;=I97),"OK","Check")</f>
        <v>OK</v>
      </c>
      <c r="P97" s="6">
        <f t="shared" si="8"/>
        <v>6.4800646459089117</v>
      </c>
      <c r="Q97" s="6">
        <f t="shared" si="9"/>
        <v>21.146192624038207</v>
      </c>
      <c r="R97" s="6">
        <f t="shared" si="10"/>
        <v>49.560853199498119</v>
      </c>
      <c r="S97" s="6">
        <f t="shared" si="11"/>
        <v>45.063291139240505</v>
      </c>
      <c r="T97" s="6">
        <f t="shared" si="12"/>
        <v>4962.7721727724311</v>
      </c>
      <c r="U97" s="6">
        <f t="shared" si="13"/>
        <v>50.627721727724307</v>
      </c>
    </row>
    <row r="98" spans="1:21" x14ac:dyDescent="0.3">
      <c r="A98" s="2">
        <v>45370</v>
      </c>
      <c r="B98" t="s">
        <v>13</v>
      </c>
      <c r="C98" t="s">
        <v>18</v>
      </c>
      <c r="D98" t="s">
        <v>23</v>
      </c>
      <c r="E98" t="s">
        <v>29</v>
      </c>
      <c r="F98">
        <v>172256</v>
      </c>
      <c r="G98">
        <v>8896</v>
      </c>
      <c r="H98">
        <v>2048</v>
      </c>
      <c r="I98">
        <v>985</v>
      </c>
      <c r="J98">
        <v>576</v>
      </c>
      <c r="K98" s="4">
        <v>152568.15</v>
      </c>
      <c r="L98" s="4">
        <v>1915389.82</v>
      </c>
      <c r="M98" t="s">
        <v>35</v>
      </c>
      <c r="N98">
        <f t="shared" si="7"/>
        <v>1</v>
      </c>
      <c r="O98" t="str">
        <f>IF(AND(G98&lt;=F98,H98&lt;=G98,I98&lt;=H98,J98&lt;=I98),"OK","Check")</f>
        <v>OK</v>
      </c>
      <c r="P98" s="6">
        <f t="shared" si="8"/>
        <v>5.1644064647965813</v>
      </c>
      <c r="Q98" s="6">
        <f t="shared" si="9"/>
        <v>23.021582733812952</v>
      </c>
      <c r="R98" s="6">
        <f t="shared" si="10"/>
        <v>48.095703125</v>
      </c>
      <c r="S98" s="6">
        <f t="shared" si="11"/>
        <v>58.477157360406096</v>
      </c>
      <c r="T98" s="6">
        <f t="shared" si="12"/>
        <v>1155.4322904223459</v>
      </c>
      <c r="U98" s="6">
        <f t="shared" si="13"/>
        <v>12.554322904223458</v>
      </c>
    </row>
    <row r="99" spans="1:21" x14ac:dyDescent="0.3">
      <c r="A99" s="2">
        <v>45370</v>
      </c>
      <c r="B99" t="s">
        <v>16</v>
      </c>
      <c r="C99" t="s">
        <v>21</v>
      </c>
      <c r="D99" t="s">
        <v>26</v>
      </c>
      <c r="E99" t="s">
        <v>29</v>
      </c>
      <c r="F99">
        <v>258133</v>
      </c>
      <c r="G99">
        <v>14755</v>
      </c>
      <c r="H99">
        <v>2438</v>
      </c>
      <c r="I99">
        <v>1536</v>
      </c>
      <c r="J99">
        <v>617</v>
      </c>
      <c r="K99" s="4">
        <v>103655.55</v>
      </c>
      <c r="L99" s="4">
        <v>4524608.51</v>
      </c>
      <c r="M99" t="s">
        <v>32</v>
      </c>
      <c r="N99">
        <f t="shared" si="7"/>
        <v>1</v>
      </c>
      <c r="O99" t="str">
        <f>IF(AND(G99&lt;=F99,H99&lt;=G99,I99&lt;=H99,J99&lt;=I99),"OK","Check")</f>
        <v>OK</v>
      </c>
      <c r="P99" s="6">
        <f t="shared" si="8"/>
        <v>5.716045604397733</v>
      </c>
      <c r="Q99" s="6">
        <f t="shared" si="9"/>
        <v>16.523212470349034</v>
      </c>
      <c r="R99" s="6">
        <f t="shared" si="10"/>
        <v>63.002461033634127</v>
      </c>
      <c r="S99" s="6">
        <f t="shared" si="11"/>
        <v>40.169270833333329</v>
      </c>
      <c r="T99" s="6">
        <f t="shared" si="12"/>
        <v>4265.0422095102476</v>
      </c>
      <c r="U99" s="6">
        <f t="shared" si="13"/>
        <v>43.650422095102478</v>
      </c>
    </row>
    <row r="100" spans="1:21" x14ac:dyDescent="0.3">
      <c r="A100" s="2">
        <v>45371</v>
      </c>
      <c r="B100" t="s">
        <v>13</v>
      </c>
      <c r="C100" t="s">
        <v>18</v>
      </c>
      <c r="D100" t="s">
        <v>23</v>
      </c>
      <c r="E100" t="s">
        <v>29</v>
      </c>
      <c r="F100">
        <v>203648</v>
      </c>
      <c r="G100">
        <v>8947</v>
      </c>
      <c r="H100">
        <v>1995</v>
      </c>
      <c r="I100">
        <v>1108</v>
      </c>
      <c r="J100">
        <v>625</v>
      </c>
      <c r="K100" s="4">
        <v>126623.75</v>
      </c>
      <c r="L100" s="4">
        <v>3738989.85</v>
      </c>
      <c r="M100" t="s">
        <v>32</v>
      </c>
      <c r="N100">
        <f t="shared" si="7"/>
        <v>1</v>
      </c>
      <c r="O100" t="str">
        <f>IF(AND(G100&lt;=F100,H100&lt;=G100,I100&lt;=H100,J100&lt;=I100),"OK","Check")</f>
        <v>OK</v>
      </c>
      <c r="P100" s="6">
        <f t="shared" si="8"/>
        <v>4.3933650219987426</v>
      </c>
      <c r="Q100" s="6">
        <f t="shared" si="9"/>
        <v>22.29797697552252</v>
      </c>
      <c r="R100" s="6">
        <f t="shared" si="10"/>
        <v>55.538847117794489</v>
      </c>
      <c r="S100" s="6">
        <f t="shared" si="11"/>
        <v>56.407942238267154</v>
      </c>
      <c r="T100" s="6">
        <f t="shared" si="12"/>
        <v>2852.8345590775825</v>
      </c>
      <c r="U100" s="6">
        <f t="shared" si="13"/>
        <v>29.528345590775825</v>
      </c>
    </row>
    <row r="101" spans="1:21" x14ac:dyDescent="0.3">
      <c r="A101" s="2">
        <v>45371</v>
      </c>
      <c r="B101" t="s">
        <v>16</v>
      </c>
      <c r="C101" t="s">
        <v>21</v>
      </c>
      <c r="D101" t="s">
        <v>26</v>
      </c>
      <c r="E101" t="s">
        <v>28</v>
      </c>
      <c r="F101">
        <v>219527</v>
      </c>
      <c r="G101">
        <v>10693</v>
      </c>
      <c r="H101">
        <v>1929</v>
      </c>
      <c r="I101">
        <v>990</v>
      </c>
      <c r="J101">
        <v>415</v>
      </c>
      <c r="K101" s="4">
        <v>203424</v>
      </c>
      <c r="L101" s="4">
        <v>2119680.17</v>
      </c>
      <c r="M101" t="s">
        <v>32</v>
      </c>
      <c r="N101">
        <f t="shared" si="7"/>
        <v>1</v>
      </c>
      <c r="O101" t="str">
        <f>IF(AND(G101&lt;=F101,H101&lt;=G101,I101&lt;=H101,J101&lt;=I101),"OK","Check")</f>
        <v>OK</v>
      </c>
      <c r="P101" s="6">
        <f t="shared" si="8"/>
        <v>4.8709270385875092</v>
      </c>
      <c r="Q101" s="6">
        <f t="shared" si="9"/>
        <v>18.039839147105582</v>
      </c>
      <c r="R101" s="6">
        <f t="shared" si="10"/>
        <v>51.32192846034215</v>
      </c>
      <c r="S101" s="6">
        <f t="shared" si="11"/>
        <v>41.919191919191917</v>
      </c>
      <c r="T101" s="6">
        <f t="shared" si="12"/>
        <v>942.00102741072817</v>
      </c>
      <c r="U101" s="6">
        <f t="shared" si="13"/>
        <v>10.420010274107282</v>
      </c>
    </row>
    <row r="102" spans="1:21" x14ac:dyDescent="0.3">
      <c r="A102" s="2">
        <v>45372</v>
      </c>
      <c r="B102" t="s">
        <v>13</v>
      </c>
      <c r="C102" t="s">
        <v>18</v>
      </c>
      <c r="D102" t="s">
        <v>23</v>
      </c>
      <c r="E102" t="s">
        <v>29</v>
      </c>
      <c r="F102">
        <v>85480</v>
      </c>
      <c r="G102">
        <v>4749</v>
      </c>
      <c r="H102">
        <v>1166</v>
      </c>
      <c r="I102">
        <v>617</v>
      </c>
      <c r="J102">
        <v>295</v>
      </c>
      <c r="K102" s="4">
        <v>77652.63</v>
      </c>
      <c r="L102" s="4">
        <v>1845721.68</v>
      </c>
      <c r="M102" t="s">
        <v>33</v>
      </c>
      <c r="N102">
        <f t="shared" si="7"/>
        <v>1</v>
      </c>
      <c r="O102" t="str">
        <f>IF(AND(G102&lt;=F102,H102&lt;=G102,I102&lt;=H102,J102&lt;=I102),"OK","Check")</f>
        <v>OK</v>
      </c>
      <c r="P102" s="6">
        <f t="shared" si="8"/>
        <v>5.5556855404773042</v>
      </c>
      <c r="Q102" s="6">
        <f t="shared" si="9"/>
        <v>24.552537376289745</v>
      </c>
      <c r="R102" s="6">
        <f t="shared" si="10"/>
        <v>52.915951972555739</v>
      </c>
      <c r="S102" s="6">
        <f t="shared" si="11"/>
        <v>47.811993517017825</v>
      </c>
      <c r="T102" s="6">
        <f t="shared" si="12"/>
        <v>2276.8952577652549</v>
      </c>
      <c r="U102" s="6">
        <f t="shared" si="13"/>
        <v>23.768952577652552</v>
      </c>
    </row>
    <row r="103" spans="1:21" x14ac:dyDescent="0.3">
      <c r="A103" s="2">
        <v>45372</v>
      </c>
      <c r="B103" t="s">
        <v>16</v>
      </c>
      <c r="C103" t="s">
        <v>21</v>
      </c>
      <c r="D103" t="s">
        <v>26</v>
      </c>
      <c r="E103" t="s">
        <v>29</v>
      </c>
      <c r="F103">
        <v>284030</v>
      </c>
      <c r="G103">
        <v>14236</v>
      </c>
      <c r="H103">
        <v>2183</v>
      </c>
      <c r="I103">
        <v>1152</v>
      </c>
      <c r="J103">
        <v>592</v>
      </c>
      <c r="K103" s="4">
        <v>262334.25</v>
      </c>
      <c r="L103" s="4">
        <v>2663779.71</v>
      </c>
      <c r="M103" t="s">
        <v>33</v>
      </c>
      <c r="N103">
        <f t="shared" si="7"/>
        <v>1</v>
      </c>
      <c r="O103" t="str">
        <f>IF(AND(G103&lt;=F103,H103&lt;=G103,I103&lt;=H103,J103&lt;=I103),"OK","Check")</f>
        <v>OK</v>
      </c>
      <c r="P103" s="6">
        <f t="shared" si="8"/>
        <v>5.0121466042319467</v>
      </c>
      <c r="Q103" s="6">
        <f t="shared" si="9"/>
        <v>15.334363585276764</v>
      </c>
      <c r="R103" s="6">
        <f t="shared" si="10"/>
        <v>52.771415483279895</v>
      </c>
      <c r="S103" s="6">
        <f t="shared" si="11"/>
        <v>51.388888888888886</v>
      </c>
      <c r="T103" s="6">
        <f t="shared" si="12"/>
        <v>915.41438451136287</v>
      </c>
      <c r="U103" s="6">
        <f t="shared" si="13"/>
        <v>10.154143845113628</v>
      </c>
    </row>
    <row r="104" spans="1:21" x14ac:dyDescent="0.3">
      <c r="A104" s="2">
        <v>45373</v>
      </c>
      <c r="B104" t="s">
        <v>13</v>
      </c>
      <c r="C104" t="s">
        <v>18</v>
      </c>
      <c r="D104" t="s">
        <v>23</v>
      </c>
      <c r="E104" t="s">
        <v>29</v>
      </c>
      <c r="F104">
        <v>298776</v>
      </c>
      <c r="G104">
        <v>13733</v>
      </c>
      <c r="H104">
        <v>2795</v>
      </c>
      <c r="I104">
        <v>1309</v>
      </c>
      <c r="J104">
        <v>703</v>
      </c>
      <c r="K104" s="4">
        <v>212229.85</v>
      </c>
      <c r="L104" s="4">
        <v>5350895.5999999996</v>
      </c>
      <c r="M104" t="s">
        <v>34</v>
      </c>
      <c r="N104">
        <f t="shared" si="7"/>
        <v>1</v>
      </c>
      <c r="O104" t="str">
        <f>IF(AND(G104&lt;=F104,H104&lt;=G104,I104&lt;=H104,J104&lt;=I104),"OK","Check")</f>
        <v>OK</v>
      </c>
      <c r="P104" s="6">
        <f t="shared" si="8"/>
        <v>4.5964200605135623</v>
      </c>
      <c r="Q104" s="6">
        <f t="shared" si="9"/>
        <v>20.352435738731522</v>
      </c>
      <c r="R104" s="6">
        <f t="shared" si="10"/>
        <v>46.833631484794275</v>
      </c>
      <c r="S104" s="6">
        <f t="shared" si="11"/>
        <v>53.705118411000761</v>
      </c>
      <c r="T104" s="6">
        <f t="shared" si="12"/>
        <v>2421.273798195683</v>
      </c>
      <c r="U104" s="6">
        <f t="shared" si="13"/>
        <v>25.212737981956824</v>
      </c>
    </row>
    <row r="105" spans="1:21" x14ac:dyDescent="0.3">
      <c r="A105" s="2">
        <v>45373</v>
      </c>
      <c r="B105" t="s">
        <v>16</v>
      </c>
      <c r="C105" t="s">
        <v>21</v>
      </c>
      <c r="D105" t="s">
        <v>26</v>
      </c>
      <c r="E105" t="s">
        <v>28</v>
      </c>
      <c r="F105">
        <v>64434</v>
      </c>
      <c r="G105">
        <v>3679</v>
      </c>
      <c r="H105">
        <v>729</v>
      </c>
      <c r="I105">
        <v>397</v>
      </c>
      <c r="J105">
        <v>235</v>
      </c>
      <c r="K105" s="4">
        <v>59041.52</v>
      </c>
      <c r="L105" s="4">
        <v>1242049.05</v>
      </c>
      <c r="M105" t="s">
        <v>31</v>
      </c>
      <c r="N105">
        <f t="shared" si="7"/>
        <v>1</v>
      </c>
      <c r="O105" t="str">
        <f>IF(AND(G105&lt;=F105,H105&lt;=G105,I105&lt;=H105,J105&lt;=I105),"OK","Check")</f>
        <v>OK</v>
      </c>
      <c r="P105" s="6">
        <f t="shared" si="8"/>
        <v>5.709718471614365</v>
      </c>
      <c r="Q105" s="6">
        <f t="shared" si="9"/>
        <v>19.815167164990484</v>
      </c>
      <c r="R105" s="6">
        <f t="shared" si="10"/>
        <v>54.458161865569274</v>
      </c>
      <c r="S105" s="6">
        <f t="shared" si="11"/>
        <v>59.193954659949618</v>
      </c>
      <c r="T105" s="6">
        <f t="shared" si="12"/>
        <v>2003.6874558785073</v>
      </c>
      <c r="U105" s="6">
        <f t="shared" si="13"/>
        <v>21.036874558785073</v>
      </c>
    </row>
    <row r="106" spans="1:21" x14ac:dyDescent="0.3">
      <c r="A106" s="2">
        <v>45374</v>
      </c>
      <c r="B106" t="s">
        <v>13</v>
      </c>
      <c r="C106" t="s">
        <v>18</v>
      </c>
      <c r="D106" t="s">
        <v>23</v>
      </c>
      <c r="E106" t="s">
        <v>29</v>
      </c>
      <c r="F106">
        <v>245366</v>
      </c>
      <c r="G106">
        <v>12959</v>
      </c>
      <c r="H106">
        <v>2802</v>
      </c>
      <c r="I106">
        <v>1515</v>
      </c>
      <c r="J106">
        <v>836</v>
      </c>
      <c r="K106" s="4">
        <v>241060.05</v>
      </c>
      <c r="L106" s="4">
        <v>6091993.9299999997</v>
      </c>
      <c r="M106" t="s">
        <v>33</v>
      </c>
      <c r="N106">
        <f t="shared" si="7"/>
        <v>1</v>
      </c>
      <c r="O106" t="str">
        <f>IF(AND(G106&lt;=F106,H106&lt;=G106,I106&lt;=H106,J106&lt;=I106),"OK","Check")</f>
        <v>OK</v>
      </c>
      <c r="P106" s="6">
        <f t="shared" si="8"/>
        <v>5.2814978440370712</v>
      </c>
      <c r="Q106" s="6">
        <f t="shared" si="9"/>
        <v>21.62203873755691</v>
      </c>
      <c r="R106" s="6">
        <f t="shared" si="10"/>
        <v>54.068522483940043</v>
      </c>
      <c r="S106" s="6">
        <f t="shared" si="11"/>
        <v>55.181518151815176</v>
      </c>
      <c r="T106" s="6">
        <f t="shared" si="12"/>
        <v>2427.1686162846149</v>
      </c>
      <c r="U106" s="6">
        <f t="shared" si="13"/>
        <v>25.271686162846144</v>
      </c>
    </row>
    <row r="107" spans="1:21" x14ac:dyDescent="0.3">
      <c r="A107" s="2">
        <v>45374</v>
      </c>
      <c r="B107" t="s">
        <v>16</v>
      </c>
      <c r="C107" t="s">
        <v>21</v>
      </c>
      <c r="D107" t="s">
        <v>26</v>
      </c>
      <c r="E107" t="s">
        <v>30</v>
      </c>
      <c r="F107">
        <v>53724</v>
      </c>
      <c r="G107">
        <v>1683</v>
      </c>
      <c r="H107">
        <v>344</v>
      </c>
      <c r="I107">
        <v>159</v>
      </c>
      <c r="J107">
        <v>73</v>
      </c>
      <c r="K107" s="4">
        <v>49801.33</v>
      </c>
      <c r="L107" s="4">
        <v>513709.91</v>
      </c>
      <c r="M107" t="s">
        <v>32</v>
      </c>
      <c r="N107">
        <f t="shared" si="7"/>
        <v>1</v>
      </c>
      <c r="O107" t="str">
        <f>IF(AND(G107&lt;=F107,H107&lt;=G107,I107&lt;=H107,J107&lt;=I107),"OK","Check")</f>
        <v>OK</v>
      </c>
      <c r="P107" s="6">
        <f t="shared" si="8"/>
        <v>3.1326781326781328</v>
      </c>
      <c r="Q107" s="6">
        <f t="shared" si="9"/>
        <v>20.439691027926322</v>
      </c>
      <c r="R107" s="6">
        <f t="shared" si="10"/>
        <v>46.220930232558139</v>
      </c>
      <c r="S107" s="6">
        <f t="shared" si="11"/>
        <v>45.911949685534594</v>
      </c>
      <c r="T107" s="6">
        <f t="shared" si="12"/>
        <v>931.51845543080856</v>
      </c>
      <c r="U107" s="6">
        <f t="shared" si="13"/>
        <v>10.315184554308086</v>
      </c>
    </row>
    <row r="108" spans="1:21" x14ac:dyDescent="0.3">
      <c r="A108" s="2">
        <v>45375</v>
      </c>
      <c r="B108" t="s">
        <v>13</v>
      </c>
      <c r="C108" t="s">
        <v>18</v>
      </c>
      <c r="D108" t="s">
        <v>23</v>
      </c>
      <c r="E108" t="s">
        <v>29</v>
      </c>
      <c r="F108">
        <v>240769</v>
      </c>
      <c r="G108">
        <v>8468</v>
      </c>
      <c r="H108">
        <v>1835</v>
      </c>
      <c r="I108">
        <v>987</v>
      </c>
      <c r="J108">
        <v>400</v>
      </c>
      <c r="K108" s="4">
        <v>145335.12</v>
      </c>
      <c r="L108" s="4">
        <v>2921642.34</v>
      </c>
      <c r="M108" t="s">
        <v>32</v>
      </c>
      <c r="N108">
        <f t="shared" si="7"/>
        <v>1</v>
      </c>
      <c r="O108" t="str">
        <f>IF(AND(G108&lt;=F108,H108&lt;=G108,I108&lt;=H108,J108&lt;=I108),"OK","Check")</f>
        <v>OK</v>
      </c>
      <c r="P108" s="6">
        <f t="shared" si="8"/>
        <v>3.5170640738633296</v>
      </c>
      <c r="Q108" s="6">
        <f t="shared" si="9"/>
        <v>21.669815777042984</v>
      </c>
      <c r="R108" s="6">
        <f t="shared" si="10"/>
        <v>53.787465940054489</v>
      </c>
      <c r="S108" s="6">
        <f t="shared" si="11"/>
        <v>40.526849037487331</v>
      </c>
      <c r="T108" s="6">
        <f t="shared" si="12"/>
        <v>1910.279648855693</v>
      </c>
      <c r="U108" s="6">
        <f t="shared" si="13"/>
        <v>20.10279648855693</v>
      </c>
    </row>
    <row r="109" spans="1:21" x14ac:dyDescent="0.3">
      <c r="A109" s="2">
        <v>45375</v>
      </c>
      <c r="B109" t="s">
        <v>16</v>
      </c>
      <c r="C109" t="s">
        <v>21</v>
      </c>
      <c r="D109" t="s">
        <v>26</v>
      </c>
      <c r="E109" t="s">
        <v>29</v>
      </c>
      <c r="F109">
        <v>79876</v>
      </c>
      <c r="G109">
        <v>4171</v>
      </c>
      <c r="H109">
        <v>757</v>
      </c>
      <c r="I109">
        <v>434</v>
      </c>
      <c r="J109">
        <v>226</v>
      </c>
      <c r="K109" s="4">
        <v>75946.350000000006</v>
      </c>
      <c r="L109" s="4">
        <v>1660035.68</v>
      </c>
      <c r="M109" t="s">
        <v>33</v>
      </c>
      <c r="N109">
        <f t="shared" si="7"/>
        <v>1</v>
      </c>
      <c r="O109" t="str">
        <f>IF(AND(G109&lt;=F109,H109&lt;=G109,I109&lt;=H109,J109&lt;=I109),"OK","Check")</f>
        <v>OK</v>
      </c>
      <c r="P109" s="6">
        <f t="shared" si="8"/>
        <v>5.2218438579798683</v>
      </c>
      <c r="Q109" s="6">
        <f t="shared" si="9"/>
        <v>18.149124910093501</v>
      </c>
      <c r="R109" s="6">
        <f t="shared" si="10"/>
        <v>57.331571994715979</v>
      </c>
      <c r="S109" s="6">
        <f t="shared" si="11"/>
        <v>52.073732718894007</v>
      </c>
      <c r="T109" s="6">
        <f t="shared" si="12"/>
        <v>2085.8004762572523</v>
      </c>
      <c r="U109" s="6">
        <f t="shared" si="13"/>
        <v>21.858004762572524</v>
      </c>
    </row>
    <row r="110" spans="1:21" x14ac:dyDescent="0.3">
      <c r="A110" s="2">
        <v>45376</v>
      </c>
      <c r="B110" t="s">
        <v>13</v>
      </c>
      <c r="C110" t="s">
        <v>18</v>
      </c>
      <c r="D110" t="s">
        <v>23</v>
      </c>
      <c r="E110" t="s">
        <v>29</v>
      </c>
      <c r="F110">
        <v>122186</v>
      </c>
      <c r="G110">
        <v>5865</v>
      </c>
      <c r="H110">
        <v>1463</v>
      </c>
      <c r="I110">
        <v>777</v>
      </c>
      <c r="J110">
        <v>313</v>
      </c>
      <c r="K110" s="4">
        <v>54949.89</v>
      </c>
      <c r="L110" s="4">
        <v>1100080.07</v>
      </c>
      <c r="M110" t="s">
        <v>32</v>
      </c>
      <c r="N110">
        <f t="shared" si="7"/>
        <v>1</v>
      </c>
      <c r="O110" t="str">
        <f>IF(AND(G110&lt;=F110,H110&lt;=G110,I110&lt;=H110,J110&lt;=I110),"OK","Check")</f>
        <v>OK</v>
      </c>
      <c r="P110" s="6">
        <f t="shared" si="8"/>
        <v>4.8000589265545974</v>
      </c>
      <c r="Q110" s="6">
        <f t="shared" si="9"/>
        <v>24.944586530264278</v>
      </c>
      <c r="R110" s="6">
        <f t="shared" si="10"/>
        <v>53.110047846889955</v>
      </c>
      <c r="S110" s="6">
        <f t="shared" si="11"/>
        <v>40.283140283140284</v>
      </c>
      <c r="T110" s="6">
        <f t="shared" si="12"/>
        <v>1901.9695580828279</v>
      </c>
      <c r="U110" s="6">
        <f t="shared" si="13"/>
        <v>20.01969558082828</v>
      </c>
    </row>
    <row r="111" spans="1:21" x14ac:dyDescent="0.3">
      <c r="A111" s="2">
        <v>45376</v>
      </c>
      <c r="B111" t="s">
        <v>16</v>
      </c>
      <c r="C111" t="s">
        <v>21</v>
      </c>
      <c r="D111" t="s">
        <v>26</v>
      </c>
      <c r="E111" t="s">
        <v>29</v>
      </c>
      <c r="F111">
        <v>199247</v>
      </c>
      <c r="G111">
        <v>9891</v>
      </c>
      <c r="H111">
        <v>2264</v>
      </c>
      <c r="I111">
        <v>1217</v>
      </c>
      <c r="J111">
        <v>616</v>
      </c>
      <c r="K111" s="4">
        <v>105185.38</v>
      </c>
      <c r="L111" s="4">
        <v>4785145.21</v>
      </c>
      <c r="M111" t="s">
        <v>35</v>
      </c>
      <c r="N111">
        <f t="shared" si="7"/>
        <v>1</v>
      </c>
      <c r="O111" t="str">
        <f>IF(AND(G111&lt;=F111,H111&lt;=G111,I111&lt;=H111,J111&lt;=I111),"OK","Check")</f>
        <v>OK</v>
      </c>
      <c r="P111" s="6">
        <f t="shared" si="8"/>
        <v>4.9641901760126883</v>
      </c>
      <c r="Q111" s="6">
        <f t="shared" si="9"/>
        <v>22.889495500960468</v>
      </c>
      <c r="R111" s="6">
        <f t="shared" si="10"/>
        <v>53.754416961130744</v>
      </c>
      <c r="S111" s="6">
        <f t="shared" si="11"/>
        <v>50.616269515201317</v>
      </c>
      <c r="T111" s="6">
        <f t="shared" si="12"/>
        <v>4449.2493443480453</v>
      </c>
      <c r="U111" s="6">
        <f t="shared" si="13"/>
        <v>45.492493443480448</v>
      </c>
    </row>
    <row r="112" spans="1:21" x14ac:dyDescent="0.3">
      <c r="A112" s="2">
        <v>45377</v>
      </c>
      <c r="B112" t="s">
        <v>13</v>
      </c>
      <c r="C112" t="s">
        <v>18</v>
      </c>
      <c r="D112" t="s">
        <v>23</v>
      </c>
      <c r="E112" t="s">
        <v>29</v>
      </c>
      <c r="F112">
        <v>274044</v>
      </c>
      <c r="G112">
        <v>13557</v>
      </c>
      <c r="H112">
        <v>2893</v>
      </c>
      <c r="I112">
        <v>1644</v>
      </c>
      <c r="J112">
        <v>828</v>
      </c>
      <c r="K112" s="4">
        <v>131707.57999999999</v>
      </c>
      <c r="L112" s="4">
        <v>6173759.6799999997</v>
      </c>
      <c r="M112" t="s">
        <v>33</v>
      </c>
      <c r="N112">
        <f t="shared" si="7"/>
        <v>1</v>
      </c>
      <c r="O112" t="str">
        <f>IF(AND(G112&lt;=F112,H112&lt;=G112,I112&lt;=H112,J112&lt;=I112),"OK","Check")</f>
        <v>OK</v>
      </c>
      <c r="P112" s="6">
        <f t="shared" si="8"/>
        <v>4.9470158076805184</v>
      </c>
      <c r="Q112" s="6">
        <f t="shared" si="9"/>
        <v>21.339529394408792</v>
      </c>
      <c r="R112" s="6">
        <f t="shared" si="10"/>
        <v>56.826823366747327</v>
      </c>
      <c r="S112" s="6">
        <f t="shared" si="11"/>
        <v>50.364963503649641</v>
      </c>
      <c r="T112" s="6">
        <f t="shared" si="12"/>
        <v>4587.4748438928118</v>
      </c>
      <c r="U112" s="6">
        <f t="shared" si="13"/>
        <v>46.874748438928115</v>
      </c>
    </row>
    <row r="113" spans="1:21" x14ac:dyDescent="0.3">
      <c r="A113" s="2">
        <v>45377</v>
      </c>
      <c r="B113" t="s">
        <v>16</v>
      </c>
      <c r="C113" t="s">
        <v>21</v>
      </c>
      <c r="D113" t="s">
        <v>26</v>
      </c>
      <c r="E113" t="s">
        <v>28</v>
      </c>
      <c r="F113">
        <v>244500</v>
      </c>
      <c r="G113">
        <v>9131</v>
      </c>
      <c r="H113">
        <v>2098</v>
      </c>
      <c r="I113">
        <v>1346</v>
      </c>
      <c r="J113">
        <v>655</v>
      </c>
      <c r="K113" s="4">
        <v>146175.82</v>
      </c>
      <c r="L113" s="4">
        <v>3464551.93</v>
      </c>
      <c r="M113" t="s">
        <v>35</v>
      </c>
      <c r="N113">
        <f t="shared" si="7"/>
        <v>1</v>
      </c>
      <c r="O113" t="str">
        <f>IF(AND(G113&lt;=F113,H113&lt;=G113,I113&lt;=H113,J113&lt;=I113),"OK","Check")</f>
        <v>OK</v>
      </c>
      <c r="P113" s="6">
        <f t="shared" si="8"/>
        <v>3.7345603271983641</v>
      </c>
      <c r="Q113" s="6">
        <f t="shared" si="9"/>
        <v>22.976672872631696</v>
      </c>
      <c r="R113" s="6">
        <f t="shared" si="10"/>
        <v>64.156339370829357</v>
      </c>
      <c r="S113" s="6">
        <f t="shared" si="11"/>
        <v>48.662704309063891</v>
      </c>
      <c r="T113" s="6">
        <f t="shared" si="12"/>
        <v>2270.1265571829872</v>
      </c>
      <c r="U113" s="6">
        <f t="shared" si="13"/>
        <v>23.701265571829868</v>
      </c>
    </row>
    <row r="114" spans="1:21" x14ac:dyDescent="0.3">
      <c r="A114" s="2">
        <v>45378</v>
      </c>
      <c r="B114" t="s">
        <v>13</v>
      </c>
      <c r="C114" t="s">
        <v>18</v>
      </c>
      <c r="D114" t="s">
        <v>23</v>
      </c>
      <c r="E114" t="s">
        <v>29</v>
      </c>
      <c r="F114">
        <v>75569</v>
      </c>
      <c r="G114">
        <v>3044</v>
      </c>
      <c r="H114">
        <v>699</v>
      </c>
      <c r="I114">
        <v>363</v>
      </c>
      <c r="J114">
        <v>210</v>
      </c>
      <c r="K114" s="4">
        <v>43169.18</v>
      </c>
      <c r="L114" s="4">
        <v>954211.72</v>
      </c>
      <c r="M114" t="s">
        <v>31</v>
      </c>
      <c r="N114">
        <f t="shared" si="7"/>
        <v>1</v>
      </c>
      <c r="O114" t="str">
        <f>IF(AND(G114&lt;=F114,H114&lt;=G114,I114&lt;=H114,J114&lt;=I114),"OK","Check")</f>
        <v>OK</v>
      </c>
      <c r="P114" s="6">
        <f t="shared" si="8"/>
        <v>4.0281067633553445</v>
      </c>
      <c r="Q114" s="6">
        <f t="shared" si="9"/>
        <v>22.963206307490143</v>
      </c>
      <c r="R114" s="6">
        <f t="shared" si="10"/>
        <v>51.931330472102999</v>
      </c>
      <c r="S114" s="6">
        <f t="shared" si="11"/>
        <v>57.851239669421481</v>
      </c>
      <c r="T114" s="6">
        <f t="shared" si="12"/>
        <v>2110.4003828657387</v>
      </c>
      <c r="U114" s="6">
        <f t="shared" si="13"/>
        <v>22.10400382865739</v>
      </c>
    </row>
    <row r="115" spans="1:21" x14ac:dyDescent="0.3">
      <c r="A115" s="2">
        <v>45378</v>
      </c>
      <c r="B115" t="s">
        <v>16</v>
      </c>
      <c r="C115" t="s">
        <v>21</v>
      </c>
      <c r="D115" t="s">
        <v>26</v>
      </c>
      <c r="E115" t="s">
        <v>29</v>
      </c>
      <c r="F115">
        <v>62090</v>
      </c>
      <c r="G115">
        <v>3649</v>
      </c>
      <c r="H115">
        <v>636</v>
      </c>
      <c r="I115">
        <v>301</v>
      </c>
      <c r="J115">
        <v>174</v>
      </c>
      <c r="K115" s="4">
        <v>58686.75</v>
      </c>
      <c r="L115" s="4">
        <v>569195.34</v>
      </c>
      <c r="M115" t="s">
        <v>32</v>
      </c>
      <c r="N115">
        <f t="shared" si="7"/>
        <v>1</v>
      </c>
      <c r="O115" t="str">
        <f>IF(AND(G115&lt;=F115,H115&lt;=G115,I115&lt;=H115,J115&lt;=I115),"OK","Check")</f>
        <v>OK</v>
      </c>
      <c r="P115" s="6">
        <f t="shared" si="8"/>
        <v>5.876952810436463</v>
      </c>
      <c r="Q115" s="6">
        <f t="shared" si="9"/>
        <v>17.429432721293505</v>
      </c>
      <c r="R115" s="6">
        <f t="shared" si="10"/>
        <v>47.327044025157235</v>
      </c>
      <c r="S115" s="6">
        <f t="shared" si="11"/>
        <v>57.807308970099669</v>
      </c>
      <c r="T115" s="6">
        <f t="shared" si="12"/>
        <v>869.88730846400597</v>
      </c>
      <c r="U115" s="6">
        <f t="shared" si="13"/>
        <v>9.6988730846400593</v>
      </c>
    </row>
    <row r="116" spans="1:21" x14ac:dyDescent="0.3">
      <c r="A116" s="2">
        <v>45379</v>
      </c>
      <c r="B116" t="s">
        <v>13</v>
      </c>
      <c r="C116" t="s">
        <v>18</v>
      </c>
      <c r="D116" t="s">
        <v>23</v>
      </c>
      <c r="E116" t="s">
        <v>29</v>
      </c>
      <c r="F116">
        <v>151614</v>
      </c>
      <c r="G116">
        <v>5544</v>
      </c>
      <c r="H116">
        <v>1000</v>
      </c>
      <c r="I116">
        <v>552</v>
      </c>
      <c r="J116">
        <v>221</v>
      </c>
      <c r="K116" s="4">
        <v>66293.7</v>
      </c>
      <c r="L116" s="4">
        <v>838838.11</v>
      </c>
      <c r="M116" t="s">
        <v>32</v>
      </c>
      <c r="N116">
        <f t="shared" si="7"/>
        <v>1</v>
      </c>
      <c r="O116" t="str">
        <f>IF(AND(G116&lt;=F116,H116&lt;=G116,I116&lt;=H116,J116&lt;=I116),"OK","Check")</f>
        <v>OK</v>
      </c>
      <c r="P116" s="6">
        <f t="shared" si="8"/>
        <v>3.6566543986703075</v>
      </c>
      <c r="Q116" s="6">
        <f t="shared" si="9"/>
        <v>18.037518037518037</v>
      </c>
      <c r="R116" s="6">
        <f t="shared" si="10"/>
        <v>55.2</v>
      </c>
      <c r="S116" s="6">
        <f t="shared" si="11"/>
        <v>40.036231884057969</v>
      </c>
      <c r="T116" s="6">
        <f t="shared" si="12"/>
        <v>1165.3360877428777</v>
      </c>
      <c r="U116" s="6">
        <f t="shared" si="13"/>
        <v>12.653360877428776</v>
      </c>
    </row>
    <row r="117" spans="1:21" x14ac:dyDescent="0.3">
      <c r="A117" s="2">
        <v>45379</v>
      </c>
      <c r="B117" t="s">
        <v>16</v>
      </c>
      <c r="C117" t="s">
        <v>21</v>
      </c>
      <c r="D117" t="s">
        <v>26</v>
      </c>
      <c r="E117" t="s">
        <v>29</v>
      </c>
      <c r="F117">
        <v>275576</v>
      </c>
      <c r="G117">
        <v>19381</v>
      </c>
      <c r="H117">
        <v>2993</v>
      </c>
      <c r="I117">
        <v>1920</v>
      </c>
      <c r="J117">
        <v>883</v>
      </c>
      <c r="K117" s="4">
        <v>152033.82</v>
      </c>
      <c r="L117" s="4">
        <v>2850575.87</v>
      </c>
      <c r="M117" t="s">
        <v>31</v>
      </c>
      <c r="N117">
        <f t="shared" si="7"/>
        <v>1</v>
      </c>
      <c r="O117" t="str">
        <f>IF(AND(G117&lt;=F117,H117&lt;=G117,I117&lt;=H117,J117&lt;=I117),"OK","Check")</f>
        <v>OK</v>
      </c>
      <c r="P117" s="6">
        <f t="shared" si="8"/>
        <v>7.0329056231311871</v>
      </c>
      <c r="Q117" s="6">
        <f t="shared" si="9"/>
        <v>15.442959599607864</v>
      </c>
      <c r="R117" s="6">
        <f t="shared" si="10"/>
        <v>64.149682592716346</v>
      </c>
      <c r="S117" s="6">
        <f t="shared" si="11"/>
        <v>45.989583333333336</v>
      </c>
      <c r="T117" s="6">
        <f t="shared" si="12"/>
        <v>1774.9616828676672</v>
      </c>
      <c r="U117" s="6">
        <f t="shared" si="13"/>
        <v>18.749616828676672</v>
      </c>
    </row>
    <row r="118" spans="1:21" x14ac:dyDescent="0.3">
      <c r="A118" s="2">
        <v>45380</v>
      </c>
      <c r="B118" t="s">
        <v>13</v>
      </c>
      <c r="C118" t="s">
        <v>18</v>
      </c>
      <c r="D118" t="s">
        <v>23</v>
      </c>
      <c r="E118" t="s">
        <v>29</v>
      </c>
      <c r="F118">
        <v>128767</v>
      </c>
      <c r="G118">
        <v>7454</v>
      </c>
      <c r="H118">
        <v>1142</v>
      </c>
      <c r="I118">
        <v>540</v>
      </c>
      <c r="J118">
        <v>253</v>
      </c>
      <c r="K118" s="4">
        <v>99239.26</v>
      </c>
      <c r="L118" s="4">
        <v>960812.07</v>
      </c>
      <c r="M118" t="s">
        <v>34</v>
      </c>
      <c r="N118">
        <f t="shared" si="7"/>
        <v>1</v>
      </c>
      <c r="O118" t="str">
        <f>IF(AND(G118&lt;=F118,H118&lt;=G118,I118&lt;=H118,J118&lt;=I118),"OK","Check")</f>
        <v>OK</v>
      </c>
      <c r="P118" s="6">
        <f t="shared" si="8"/>
        <v>5.7887502232714905</v>
      </c>
      <c r="Q118" s="6">
        <f t="shared" si="9"/>
        <v>15.320633217064664</v>
      </c>
      <c r="R118" s="6">
        <f t="shared" si="10"/>
        <v>47.285464098073554</v>
      </c>
      <c r="S118" s="6">
        <f t="shared" si="11"/>
        <v>46.851851851851848</v>
      </c>
      <c r="T118" s="6">
        <f t="shared" si="12"/>
        <v>868.17738262054752</v>
      </c>
      <c r="U118" s="6">
        <f t="shared" si="13"/>
        <v>9.6817738262054753</v>
      </c>
    </row>
    <row r="119" spans="1:21" x14ac:dyDescent="0.3">
      <c r="A119" s="2">
        <v>45380</v>
      </c>
      <c r="B119" t="s">
        <v>16</v>
      </c>
      <c r="C119" t="s">
        <v>21</v>
      </c>
      <c r="D119" t="s">
        <v>26</v>
      </c>
      <c r="E119" t="s">
        <v>30</v>
      </c>
      <c r="F119">
        <v>94022</v>
      </c>
      <c r="G119">
        <v>2854</v>
      </c>
      <c r="H119">
        <v>695</v>
      </c>
      <c r="I119">
        <v>411</v>
      </c>
      <c r="J119">
        <v>192</v>
      </c>
      <c r="K119" s="4">
        <v>58116.78</v>
      </c>
      <c r="L119" s="4">
        <v>1323997.7</v>
      </c>
      <c r="M119" t="s">
        <v>33</v>
      </c>
      <c r="N119">
        <f t="shared" si="7"/>
        <v>1</v>
      </c>
      <c r="O119" t="str">
        <f>IF(AND(G119&lt;=F119,H119&lt;=G119,I119&lt;=H119,J119&lt;=I119),"OK","Check")</f>
        <v>OK</v>
      </c>
      <c r="P119" s="6">
        <f t="shared" si="8"/>
        <v>3.0354597860075305</v>
      </c>
      <c r="Q119" s="6">
        <f t="shared" si="9"/>
        <v>24.351786965662228</v>
      </c>
      <c r="R119" s="6">
        <f t="shared" si="10"/>
        <v>59.136690647482013</v>
      </c>
      <c r="S119" s="6">
        <f t="shared" si="11"/>
        <v>46.715328467153284</v>
      </c>
      <c r="T119" s="6">
        <f t="shared" si="12"/>
        <v>2178.1676823802004</v>
      </c>
      <c r="U119" s="6">
        <f t="shared" si="13"/>
        <v>22.781676823802005</v>
      </c>
    </row>
    <row r="120" spans="1:21" x14ac:dyDescent="0.3">
      <c r="A120" s="2">
        <v>45381</v>
      </c>
      <c r="B120" t="s">
        <v>13</v>
      </c>
      <c r="C120" t="s">
        <v>18</v>
      </c>
      <c r="D120" t="s">
        <v>23</v>
      </c>
      <c r="E120" t="s">
        <v>29</v>
      </c>
      <c r="F120">
        <v>168427</v>
      </c>
      <c r="G120">
        <v>7496</v>
      </c>
      <c r="H120">
        <v>1354</v>
      </c>
      <c r="I120">
        <v>707</v>
      </c>
      <c r="J120">
        <v>399</v>
      </c>
      <c r="K120" s="4">
        <v>121004.62</v>
      </c>
      <c r="L120" s="4">
        <v>2780010.07</v>
      </c>
      <c r="M120" t="s">
        <v>33</v>
      </c>
      <c r="N120">
        <f t="shared" si="7"/>
        <v>1</v>
      </c>
      <c r="O120" t="str">
        <f>IF(AND(G120&lt;=F120,H120&lt;=G120,I120&lt;=H120,J120&lt;=I120),"OK","Check")</f>
        <v>OK</v>
      </c>
      <c r="P120" s="6">
        <f t="shared" si="8"/>
        <v>4.450592838440393</v>
      </c>
      <c r="Q120" s="6">
        <f t="shared" si="9"/>
        <v>18.062966915688367</v>
      </c>
      <c r="R120" s="6">
        <f t="shared" si="10"/>
        <v>52.215657311669126</v>
      </c>
      <c r="S120" s="6">
        <f t="shared" si="11"/>
        <v>56.435643564356432</v>
      </c>
      <c r="T120" s="6">
        <f t="shared" si="12"/>
        <v>2197.4412629864878</v>
      </c>
      <c r="U120" s="6">
        <f t="shared" si="13"/>
        <v>22.974412629864876</v>
      </c>
    </row>
    <row r="121" spans="1:21" x14ac:dyDescent="0.3">
      <c r="A121" s="2">
        <v>45381</v>
      </c>
      <c r="B121" t="s">
        <v>16</v>
      </c>
      <c r="C121" t="s">
        <v>21</v>
      </c>
      <c r="D121" t="s">
        <v>26</v>
      </c>
      <c r="E121" t="s">
        <v>29</v>
      </c>
      <c r="F121">
        <v>153437</v>
      </c>
      <c r="G121">
        <v>5657</v>
      </c>
      <c r="H121">
        <v>1049</v>
      </c>
      <c r="I121">
        <v>519</v>
      </c>
      <c r="J121">
        <v>211</v>
      </c>
      <c r="K121" s="4">
        <v>147977.24</v>
      </c>
      <c r="L121" s="4">
        <v>1161334.2</v>
      </c>
      <c r="M121" t="s">
        <v>35</v>
      </c>
      <c r="N121">
        <f t="shared" si="7"/>
        <v>1</v>
      </c>
      <c r="O121" t="str">
        <f>IF(AND(G121&lt;=F121,H121&lt;=G121,I121&lt;=H121,J121&lt;=I121),"OK","Check")</f>
        <v>OK</v>
      </c>
      <c r="P121" s="6">
        <f t="shared" si="8"/>
        <v>3.6868551913814787</v>
      </c>
      <c r="Q121" s="6">
        <f t="shared" si="9"/>
        <v>18.543397560544459</v>
      </c>
      <c r="R121" s="6">
        <f t="shared" si="10"/>
        <v>49.475691134413729</v>
      </c>
      <c r="S121" s="6">
        <f t="shared" si="11"/>
        <v>40.655105973025044</v>
      </c>
      <c r="T121" s="6">
        <f t="shared" si="12"/>
        <v>684.80596070044294</v>
      </c>
      <c r="U121" s="6">
        <f t="shared" si="13"/>
        <v>7.8480596070044291</v>
      </c>
    </row>
    <row r="122" spans="1:21" x14ac:dyDescent="0.3">
      <c r="A122" s="2">
        <v>45382</v>
      </c>
      <c r="B122" t="s">
        <v>13</v>
      </c>
      <c r="C122" t="s">
        <v>18</v>
      </c>
      <c r="D122" t="s">
        <v>23</v>
      </c>
      <c r="E122" t="s">
        <v>29</v>
      </c>
      <c r="F122">
        <v>80636</v>
      </c>
      <c r="G122">
        <v>5687</v>
      </c>
      <c r="H122">
        <v>1072</v>
      </c>
      <c r="I122">
        <v>607</v>
      </c>
      <c r="J122">
        <v>344</v>
      </c>
      <c r="K122" s="4">
        <v>59284.93</v>
      </c>
      <c r="L122" s="4">
        <v>2288813.48</v>
      </c>
      <c r="M122" t="s">
        <v>35</v>
      </c>
      <c r="N122">
        <f t="shared" si="7"/>
        <v>1</v>
      </c>
      <c r="O122" t="str">
        <f>IF(AND(G122&lt;=F122,H122&lt;=G122,I122&lt;=H122,J122&lt;=I122),"OK","Check")</f>
        <v>OK</v>
      </c>
      <c r="P122" s="6">
        <f t="shared" si="8"/>
        <v>7.0526811845825685</v>
      </c>
      <c r="Q122" s="6">
        <f t="shared" si="9"/>
        <v>18.850008791981711</v>
      </c>
      <c r="R122" s="6">
        <f t="shared" si="10"/>
        <v>56.623134328358205</v>
      </c>
      <c r="S122" s="6">
        <f t="shared" si="11"/>
        <v>56.672158154859964</v>
      </c>
      <c r="T122" s="6">
        <f t="shared" si="12"/>
        <v>3760.7003162523761</v>
      </c>
      <c r="U122" s="6">
        <f t="shared" si="13"/>
        <v>38.607003162523768</v>
      </c>
    </row>
    <row r="123" spans="1:21" x14ac:dyDescent="0.3">
      <c r="A123" s="2">
        <v>45382</v>
      </c>
      <c r="B123" t="s">
        <v>16</v>
      </c>
      <c r="C123" t="s">
        <v>21</v>
      </c>
      <c r="D123" t="s">
        <v>26</v>
      </c>
      <c r="E123" t="s">
        <v>30</v>
      </c>
      <c r="F123">
        <v>158630</v>
      </c>
      <c r="G123">
        <v>4927</v>
      </c>
      <c r="H123">
        <v>822</v>
      </c>
      <c r="I123">
        <v>475</v>
      </c>
      <c r="J123">
        <v>264</v>
      </c>
      <c r="K123" s="4">
        <v>141499.38</v>
      </c>
      <c r="L123" s="4">
        <v>1140875.76</v>
      </c>
      <c r="M123" t="s">
        <v>35</v>
      </c>
      <c r="N123">
        <f t="shared" si="7"/>
        <v>1</v>
      </c>
      <c r="O123" t="str">
        <f>IF(AND(G123&lt;=F123,H123&lt;=G123,I123&lt;=H123,J123&lt;=I123),"OK","Check")</f>
        <v>OK</v>
      </c>
      <c r="P123" s="6">
        <f t="shared" si="8"/>
        <v>3.1059698669860683</v>
      </c>
      <c r="Q123" s="6">
        <f t="shared" si="9"/>
        <v>16.683580271970776</v>
      </c>
      <c r="R123" s="6">
        <f t="shared" si="10"/>
        <v>57.785888077858885</v>
      </c>
      <c r="S123" s="6">
        <f t="shared" si="11"/>
        <v>55.578947368421048</v>
      </c>
      <c r="T123" s="6">
        <f t="shared" si="12"/>
        <v>706.27615470823969</v>
      </c>
      <c r="U123" s="6">
        <f t="shared" si="13"/>
        <v>8.0627615470823972</v>
      </c>
    </row>
    <row r="124" spans="1:21" x14ac:dyDescent="0.3">
      <c r="A124" s="2">
        <v>45383</v>
      </c>
      <c r="B124" t="s">
        <v>13</v>
      </c>
      <c r="C124" t="s">
        <v>18</v>
      </c>
      <c r="D124" t="s">
        <v>23</v>
      </c>
      <c r="E124" t="s">
        <v>29</v>
      </c>
      <c r="F124">
        <v>186499</v>
      </c>
      <c r="G124">
        <v>6536</v>
      </c>
      <c r="H124">
        <v>1354</v>
      </c>
      <c r="I124">
        <v>621</v>
      </c>
      <c r="J124">
        <v>368</v>
      </c>
      <c r="K124" s="4">
        <v>85229.02</v>
      </c>
      <c r="L124" s="4">
        <v>2637713.85</v>
      </c>
      <c r="M124" t="s">
        <v>34</v>
      </c>
      <c r="N124">
        <f t="shared" si="7"/>
        <v>1</v>
      </c>
      <c r="O124" t="str">
        <f>IF(AND(G124&lt;=F124,H124&lt;=G124,I124&lt;=H124,J124&lt;=I124),"OK","Check")</f>
        <v>OK</v>
      </c>
      <c r="P124" s="6">
        <f t="shared" si="8"/>
        <v>3.5045764320452122</v>
      </c>
      <c r="Q124" s="6">
        <f t="shared" si="9"/>
        <v>20.716034271725825</v>
      </c>
      <c r="R124" s="6">
        <f t="shared" si="10"/>
        <v>45.864106351550959</v>
      </c>
      <c r="S124" s="6">
        <f t="shared" si="11"/>
        <v>59.259259259259252</v>
      </c>
      <c r="T124" s="6">
        <f t="shared" si="12"/>
        <v>2994.8541353637529</v>
      </c>
      <c r="U124" s="6">
        <f t="shared" si="13"/>
        <v>30.948541353637527</v>
      </c>
    </row>
    <row r="125" spans="1:21" x14ac:dyDescent="0.3">
      <c r="A125" s="2">
        <v>45384</v>
      </c>
      <c r="B125" t="s">
        <v>13</v>
      </c>
      <c r="C125" t="s">
        <v>18</v>
      </c>
      <c r="D125" t="s">
        <v>23</v>
      </c>
      <c r="E125" t="s">
        <v>29</v>
      </c>
      <c r="F125">
        <v>280440</v>
      </c>
      <c r="G125">
        <v>19647</v>
      </c>
      <c r="H125">
        <v>3222</v>
      </c>
      <c r="I125">
        <v>1784</v>
      </c>
      <c r="J125">
        <v>885</v>
      </c>
      <c r="K125" s="4">
        <v>254339</v>
      </c>
      <c r="L125" s="4">
        <v>4246093.25</v>
      </c>
      <c r="M125" t="s">
        <v>33</v>
      </c>
      <c r="N125">
        <f t="shared" si="7"/>
        <v>1</v>
      </c>
      <c r="O125" t="str">
        <f>IF(AND(G125&lt;=F125,H125&lt;=G125,I125&lt;=H125,J125&lt;=I125),"OK","Check")</f>
        <v>OK</v>
      </c>
      <c r="P125" s="6">
        <f t="shared" si="8"/>
        <v>7.005776636713736</v>
      </c>
      <c r="Q125" s="6">
        <f t="shared" si="9"/>
        <v>16.399450297755383</v>
      </c>
      <c r="R125" s="6">
        <f t="shared" si="10"/>
        <v>55.369335816263188</v>
      </c>
      <c r="S125" s="6">
        <f t="shared" si="11"/>
        <v>49.607623318385649</v>
      </c>
      <c r="T125" s="6">
        <f t="shared" si="12"/>
        <v>1569.4621155229831</v>
      </c>
      <c r="U125" s="6">
        <f t="shared" si="13"/>
        <v>16.694621155229832</v>
      </c>
    </row>
    <row r="126" spans="1:21" x14ac:dyDescent="0.3">
      <c r="A126" s="2">
        <v>45385</v>
      </c>
      <c r="B126" t="s">
        <v>13</v>
      </c>
      <c r="C126" t="s">
        <v>18</v>
      </c>
      <c r="D126" t="s">
        <v>23</v>
      </c>
      <c r="E126" t="s">
        <v>29</v>
      </c>
      <c r="F126">
        <v>79911</v>
      </c>
      <c r="G126">
        <v>2837</v>
      </c>
      <c r="H126">
        <v>458</v>
      </c>
      <c r="I126">
        <v>283</v>
      </c>
      <c r="J126">
        <v>153</v>
      </c>
      <c r="K126" s="4">
        <v>34959.15</v>
      </c>
      <c r="L126" s="4">
        <v>584662.54</v>
      </c>
      <c r="M126" t="s">
        <v>32</v>
      </c>
      <c r="N126">
        <f t="shared" si="7"/>
        <v>1</v>
      </c>
      <c r="O126" t="str">
        <f>IF(AND(G126&lt;=F126,H126&lt;=G126,I126&lt;=H126,J126&lt;=I126),"OK","Check")</f>
        <v>OK</v>
      </c>
      <c r="P126" s="6">
        <f t="shared" si="8"/>
        <v>3.5501995970517202</v>
      </c>
      <c r="Q126" s="6">
        <f t="shared" si="9"/>
        <v>16.143813887909765</v>
      </c>
      <c r="R126" s="6">
        <f t="shared" si="10"/>
        <v>61.790393013100442</v>
      </c>
      <c r="S126" s="6">
        <f t="shared" si="11"/>
        <v>54.063604240282679</v>
      </c>
      <c r="T126" s="6">
        <f t="shared" si="12"/>
        <v>1572.4163487956657</v>
      </c>
      <c r="U126" s="6">
        <f t="shared" si="13"/>
        <v>16.724163487956659</v>
      </c>
    </row>
    <row r="127" spans="1:21" x14ac:dyDescent="0.3">
      <c r="A127" s="2">
        <v>45386</v>
      </c>
      <c r="B127" t="s">
        <v>13</v>
      </c>
      <c r="C127" t="s">
        <v>18</v>
      </c>
      <c r="D127" t="s">
        <v>23</v>
      </c>
      <c r="E127" t="s">
        <v>29</v>
      </c>
      <c r="F127">
        <v>274653</v>
      </c>
      <c r="G127">
        <v>14146</v>
      </c>
      <c r="H127">
        <v>2816</v>
      </c>
      <c r="I127">
        <v>1386</v>
      </c>
      <c r="J127">
        <v>561</v>
      </c>
      <c r="K127" s="4">
        <v>208104.41</v>
      </c>
      <c r="L127" s="4">
        <v>3892837.87</v>
      </c>
      <c r="M127" t="s">
        <v>34</v>
      </c>
      <c r="N127">
        <f t="shared" si="7"/>
        <v>1</v>
      </c>
      <c r="O127" t="str">
        <f>IF(AND(G127&lt;=F127,H127&lt;=G127,I127&lt;=H127,J127&lt;=I127),"OK","Check")</f>
        <v>OK</v>
      </c>
      <c r="P127" s="6">
        <f t="shared" si="8"/>
        <v>5.1504989932751508</v>
      </c>
      <c r="Q127" s="6">
        <f t="shared" si="9"/>
        <v>19.906687402799378</v>
      </c>
      <c r="R127" s="6">
        <f t="shared" si="10"/>
        <v>49.21875</v>
      </c>
      <c r="S127" s="6">
        <f t="shared" si="11"/>
        <v>40.476190476190474</v>
      </c>
      <c r="T127" s="6">
        <f t="shared" si="12"/>
        <v>1770.6176721579325</v>
      </c>
      <c r="U127" s="6">
        <f t="shared" si="13"/>
        <v>18.706176721579325</v>
      </c>
    </row>
    <row r="128" spans="1:21" x14ac:dyDescent="0.3">
      <c r="A128" s="2">
        <v>45387</v>
      </c>
      <c r="B128" t="s">
        <v>13</v>
      </c>
      <c r="C128" t="s">
        <v>18</v>
      </c>
      <c r="D128" t="s">
        <v>23</v>
      </c>
      <c r="E128" t="s">
        <v>29</v>
      </c>
      <c r="F128">
        <v>165340</v>
      </c>
      <c r="G128">
        <v>10645</v>
      </c>
      <c r="H128">
        <v>1684</v>
      </c>
      <c r="I128">
        <v>807</v>
      </c>
      <c r="J128">
        <v>389</v>
      </c>
      <c r="K128" s="4">
        <v>129203.32</v>
      </c>
      <c r="L128" s="4">
        <v>3018743.31</v>
      </c>
      <c r="M128" t="s">
        <v>34</v>
      </c>
      <c r="N128">
        <f t="shared" si="7"/>
        <v>1</v>
      </c>
      <c r="O128" t="str">
        <f>IF(AND(G128&lt;=F128,H128&lt;=G128,I128&lt;=H128,J128&lt;=I128),"OK","Check")</f>
        <v>OK</v>
      </c>
      <c r="P128" s="6">
        <f t="shared" si="8"/>
        <v>6.4382484577234793</v>
      </c>
      <c r="Q128" s="6">
        <f t="shared" si="9"/>
        <v>15.819633630812588</v>
      </c>
      <c r="R128" s="6">
        <f t="shared" si="10"/>
        <v>47.921615201900238</v>
      </c>
      <c r="S128" s="6">
        <f t="shared" si="11"/>
        <v>48.203221809169769</v>
      </c>
      <c r="T128" s="6">
        <f t="shared" si="12"/>
        <v>2236.428591773029</v>
      </c>
      <c r="U128" s="6">
        <f t="shared" si="13"/>
        <v>23.364285917730285</v>
      </c>
    </row>
    <row r="129" spans="1:21" x14ac:dyDescent="0.3">
      <c r="A129" s="2">
        <v>45388</v>
      </c>
      <c r="B129" t="s">
        <v>13</v>
      </c>
      <c r="C129" t="s">
        <v>18</v>
      </c>
      <c r="D129" t="s">
        <v>23</v>
      </c>
      <c r="E129" t="s">
        <v>29</v>
      </c>
      <c r="F129">
        <v>282778</v>
      </c>
      <c r="G129">
        <v>15067</v>
      </c>
      <c r="H129">
        <v>2772</v>
      </c>
      <c r="I129">
        <v>1717</v>
      </c>
      <c r="J129">
        <v>949</v>
      </c>
      <c r="K129" s="4">
        <v>219848.01</v>
      </c>
      <c r="L129" s="4">
        <v>5156798.93</v>
      </c>
      <c r="M129" t="s">
        <v>34</v>
      </c>
      <c r="N129">
        <f t="shared" si="7"/>
        <v>1</v>
      </c>
      <c r="O129" t="str">
        <f>IF(AND(G129&lt;=F129,H129&lt;=G129,I129&lt;=H129,J129&lt;=I129),"OK","Check")</f>
        <v>OK</v>
      </c>
      <c r="P129" s="6">
        <f t="shared" si="8"/>
        <v>5.3282079935497109</v>
      </c>
      <c r="Q129" s="6">
        <f t="shared" si="9"/>
        <v>18.397823057012015</v>
      </c>
      <c r="R129" s="6">
        <f t="shared" si="10"/>
        <v>61.940836940836938</v>
      </c>
      <c r="S129" s="6">
        <f t="shared" si="11"/>
        <v>55.270821199767042</v>
      </c>
      <c r="T129" s="6">
        <f t="shared" si="12"/>
        <v>2245.6200172109811</v>
      </c>
      <c r="U129" s="6">
        <f t="shared" si="13"/>
        <v>23.45620017210981</v>
      </c>
    </row>
    <row r="130" spans="1:21" x14ac:dyDescent="0.3">
      <c r="A130" s="2">
        <v>45389</v>
      </c>
      <c r="B130" t="s">
        <v>13</v>
      </c>
      <c r="C130" t="s">
        <v>18</v>
      </c>
      <c r="D130" t="s">
        <v>23</v>
      </c>
      <c r="E130" t="s">
        <v>29</v>
      </c>
      <c r="F130">
        <v>285987</v>
      </c>
      <c r="G130">
        <v>22561</v>
      </c>
      <c r="H130">
        <v>5121</v>
      </c>
      <c r="I130">
        <v>2466</v>
      </c>
      <c r="J130">
        <v>1091</v>
      </c>
      <c r="K130" s="4">
        <v>146348.42000000001</v>
      </c>
      <c r="L130" s="4">
        <v>3872314.53</v>
      </c>
      <c r="M130" t="s">
        <v>31</v>
      </c>
      <c r="N130">
        <f t="shared" si="7"/>
        <v>1</v>
      </c>
      <c r="O130" t="str">
        <f>IF(AND(G130&lt;=F130,H130&lt;=G130,I130&lt;=H130,J130&lt;=I130),"OK","Check")</f>
        <v>OK</v>
      </c>
      <c r="P130" s="6">
        <f t="shared" si="8"/>
        <v>7.8888201211943203</v>
      </c>
      <c r="Q130" s="6">
        <f t="shared" si="9"/>
        <v>22.698461947608706</v>
      </c>
      <c r="R130" s="6">
        <f t="shared" si="10"/>
        <v>48.154657293497365</v>
      </c>
      <c r="S130" s="6">
        <f t="shared" si="11"/>
        <v>44.241686942416869</v>
      </c>
      <c r="T130" s="6">
        <f t="shared" si="12"/>
        <v>2545.9558155803797</v>
      </c>
      <c r="U130" s="6">
        <f t="shared" si="13"/>
        <v>26.459558155803798</v>
      </c>
    </row>
    <row r="131" spans="1:21" x14ac:dyDescent="0.3">
      <c r="A131" s="2">
        <v>45390</v>
      </c>
      <c r="B131" t="s">
        <v>13</v>
      </c>
      <c r="C131" t="s">
        <v>18</v>
      </c>
      <c r="D131" t="s">
        <v>23</v>
      </c>
      <c r="E131" t="s">
        <v>29</v>
      </c>
      <c r="F131">
        <v>200034</v>
      </c>
      <c r="G131">
        <v>14443</v>
      </c>
      <c r="H131">
        <v>3338</v>
      </c>
      <c r="I131">
        <v>1578</v>
      </c>
      <c r="J131">
        <v>716</v>
      </c>
      <c r="K131" s="4">
        <v>189341.96</v>
      </c>
      <c r="L131" s="4">
        <v>5411518.9299999997</v>
      </c>
      <c r="M131" t="s">
        <v>31</v>
      </c>
      <c r="N131">
        <f t="shared" ref="N131:N194" si="14">COUNTIFS(A:A,A131,B:B,B131,C:C,C131,D:D,D131,E:E,E131,F:F,F131,G:G,G131,H:H,H131,I:I,I131,J:J,J131,K:K,K131,L:L,L131,M:M,M131)</f>
        <v>1</v>
      </c>
      <c r="O131" t="str">
        <f>IF(AND(G131&lt;=F131,H131&lt;=G131,I131&lt;=H131,J131&lt;=I131),"OK","Check")</f>
        <v>OK</v>
      </c>
      <c r="P131" s="6">
        <f t="shared" ref="P131:P194" si="15">IFERROR(G131/F131*100,0)</f>
        <v>7.2202725536658772</v>
      </c>
      <c r="Q131" s="6">
        <f t="shared" ref="Q131:Q194" si="16">IFERROR(H131/G131*100,0)</f>
        <v>23.111541923423111</v>
      </c>
      <c r="R131" s="6">
        <f t="shared" ref="R131:R194" si="17">IFERROR(I131/H131*100,0)</f>
        <v>47.273816656680644</v>
      </c>
      <c r="S131" s="6">
        <f t="shared" ref="S131:S194" si="18">IFERROR(J131/I131*100,0)</f>
        <v>45.373891001267424</v>
      </c>
      <c r="T131" s="6">
        <f t="shared" ref="T131:T194" si="19">IFERROR((L131-K131)/K131*100,0)</f>
        <v>2758.0663947917301</v>
      </c>
      <c r="U131" s="6">
        <f t="shared" ref="U131:U194" si="20">IFERROR(L131/K131,0)</f>
        <v>28.580663947917301</v>
      </c>
    </row>
    <row r="132" spans="1:21" x14ac:dyDescent="0.3">
      <c r="A132" s="2">
        <v>45391</v>
      </c>
      <c r="B132" t="s">
        <v>13</v>
      </c>
      <c r="C132" t="s">
        <v>18</v>
      </c>
      <c r="D132" t="s">
        <v>23</v>
      </c>
      <c r="E132" t="s">
        <v>29</v>
      </c>
      <c r="F132">
        <v>114098</v>
      </c>
      <c r="G132">
        <v>4796</v>
      </c>
      <c r="H132">
        <v>979</v>
      </c>
      <c r="I132">
        <v>559</v>
      </c>
      <c r="J132">
        <v>277</v>
      </c>
      <c r="K132" s="4">
        <v>95244.65</v>
      </c>
      <c r="L132" s="4">
        <v>1500707.12</v>
      </c>
      <c r="M132" t="s">
        <v>31</v>
      </c>
      <c r="N132">
        <f t="shared" si="14"/>
        <v>1</v>
      </c>
      <c r="O132" t="str">
        <f>IF(AND(G132&lt;=F132,H132&lt;=G132,I132&lt;=H132,J132&lt;=I132),"OK","Check")</f>
        <v>OK</v>
      </c>
      <c r="P132" s="6">
        <f t="shared" si="15"/>
        <v>4.2034040912198281</v>
      </c>
      <c r="Q132" s="6">
        <f t="shared" si="16"/>
        <v>20.412844036697248</v>
      </c>
      <c r="R132" s="6">
        <f t="shared" si="17"/>
        <v>57.099080694586313</v>
      </c>
      <c r="S132" s="6">
        <f t="shared" si="18"/>
        <v>49.552772808586766</v>
      </c>
      <c r="T132" s="6">
        <f t="shared" si="19"/>
        <v>1475.63403298768</v>
      </c>
      <c r="U132" s="6">
        <f t="shared" si="20"/>
        <v>15.756340329876798</v>
      </c>
    </row>
    <row r="133" spans="1:21" x14ac:dyDescent="0.3">
      <c r="A133" s="2">
        <v>45392</v>
      </c>
      <c r="B133" t="s">
        <v>13</v>
      </c>
      <c r="C133" t="s">
        <v>18</v>
      </c>
      <c r="D133" t="s">
        <v>23</v>
      </c>
      <c r="E133" t="s">
        <v>29</v>
      </c>
      <c r="F133">
        <v>230730</v>
      </c>
      <c r="G133">
        <v>8044</v>
      </c>
      <c r="H133">
        <v>1273</v>
      </c>
      <c r="I133">
        <v>591</v>
      </c>
      <c r="J133">
        <v>285</v>
      </c>
      <c r="K133" s="4">
        <v>100417.85</v>
      </c>
      <c r="L133" s="4">
        <v>2085502.25</v>
      </c>
      <c r="M133" t="s">
        <v>33</v>
      </c>
      <c r="N133">
        <f t="shared" si="14"/>
        <v>1</v>
      </c>
      <c r="O133" t="str">
        <f>IF(AND(G133&lt;=F133,H133&lt;=G133,I133&lt;=H133,J133&lt;=I133),"OK","Check")</f>
        <v>OK</v>
      </c>
      <c r="P133" s="6">
        <f t="shared" si="15"/>
        <v>3.4863260087548218</v>
      </c>
      <c r="Q133" s="6">
        <f t="shared" si="16"/>
        <v>15.825459970164097</v>
      </c>
      <c r="R133" s="6">
        <f t="shared" si="17"/>
        <v>46.425765907305575</v>
      </c>
      <c r="S133" s="6">
        <f t="shared" si="18"/>
        <v>48.223350253807105</v>
      </c>
      <c r="T133" s="6">
        <f t="shared" si="19"/>
        <v>1976.8242399135211</v>
      </c>
      <c r="U133" s="6">
        <f t="shared" si="20"/>
        <v>20.768242399135211</v>
      </c>
    </row>
    <row r="134" spans="1:21" x14ac:dyDescent="0.3">
      <c r="A134" s="2">
        <v>45393</v>
      </c>
      <c r="B134" t="s">
        <v>13</v>
      </c>
      <c r="C134" t="s">
        <v>18</v>
      </c>
      <c r="D134" t="s">
        <v>23</v>
      </c>
      <c r="E134" t="s">
        <v>29</v>
      </c>
      <c r="F134">
        <v>221570</v>
      </c>
      <c r="G134">
        <v>12355</v>
      </c>
      <c r="H134">
        <v>2256</v>
      </c>
      <c r="I134">
        <v>1301</v>
      </c>
      <c r="J134">
        <v>521</v>
      </c>
      <c r="K134" s="4">
        <v>200217.89</v>
      </c>
      <c r="L134" s="4">
        <v>2522440.58</v>
      </c>
      <c r="M134" t="s">
        <v>31</v>
      </c>
      <c r="N134">
        <f t="shared" si="14"/>
        <v>1</v>
      </c>
      <c r="O134" t="str">
        <f>IF(AND(G134&lt;=F134,H134&lt;=G134,I134&lt;=H134,J134&lt;=I134),"OK","Check")</f>
        <v>OK</v>
      </c>
      <c r="P134" s="6">
        <f t="shared" si="15"/>
        <v>5.5761159001669895</v>
      </c>
      <c r="Q134" s="6">
        <f t="shared" si="16"/>
        <v>18.259813840550386</v>
      </c>
      <c r="R134" s="6">
        <f t="shared" si="17"/>
        <v>57.668439716312058</v>
      </c>
      <c r="S134" s="6">
        <f t="shared" si="18"/>
        <v>40.046118370484237</v>
      </c>
      <c r="T134" s="6">
        <f t="shared" si="19"/>
        <v>1159.8477488699934</v>
      </c>
      <c r="U134" s="6">
        <f t="shared" si="20"/>
        <v>12.598477488699935</v>
      </c>
    </row>
    <row r="135" spans="1:21" x14ac:dyDescent="0.3">
      <c r="A135" s="2">
        <v>45394</v>
      </c>
      <c r="B135" t="s">
        <v>13</v>
      </c>
      <c r="C135" t="s">
        <v>18</v>
      </c>
      <c r="D135" t="s">
        <v>23</v>
      </c>
      <c r="E135" t="s">
        <v>29</v>
      </c>
      <c r="F135">
        <v>241871</v>
      </c>
      <c r="G135">
        <v>18824</v>
      </c>
      <c r="H135">
        <v>3533</v>
      </c>
      <c r="I135">
        <v>2181</v>
      </c>
      <c r="J135">
        <v>917</v>
      </c>
      <c r="K135" s="4">
        <v>126584.31</v>
      </c>
      <c r="L135" s="4">
        <v>7087676.71</v>
      </c>
      <c r="M135" t="s">
        <v>32</v>
      </c>
      <c r="N135">
        <f t="shared" si="14"/>
        <v>1</v>
      </c>
      <c r="O135" t="str">
        <f>IF(AND(G135&lt;=F135,H135&lt;=G135,I135&lt;=H135,J135&lt;=I135),"OK","Check")</f>
        <v>OK</v>
      </c>
      <c r="P135" s="6">
        <f t="shared" si="15"/>
        <v>7.7826610052465979</v>
      </c>
      <c r="Q135" s="6">
        <f t="shared" si="16"/>
        <v>18.768593285167871</v>
      </c>
      <c r="R135" s="6">
        <f t="shared" si="17"/>
        <v>61.732238890461367</v>
      </c>
      <c r="S135" s="6">
        <f t="shared" si="18"/>
        <v>42.044933516735448</v>
      </c>
      <c r="T135" s="6">
        <f t="shared" si="19"/>
        <v>5499.1747397446015</v>
      </c>
      <c r="U135" s="6">
        <f t="shared" si="20"/>
        <v>55.991747397446019</v>
      </c>
    </row>
    <row r="136" spans="1:21" x14ac:dyDescent="0.3">
      <c r="A136" s="2">
        <v>45395</v>
      </c>
      <c r="B136" t="s">
        <v>13</v>
      </c>
      <c r="C136" t="s">
        <v>18</v>
      </c>
      <c r="D136" t="s">
        <v>23</v>
      </c>
      <c r="E136" t="s">
        <v>29</v>
      </c>
      <c r="F136">
        <v>288853</v>
      </c>
      <c r="G136">
        <v>12032</v>
      </c>
      <c r="H136">
        <v>2732</v>
      </c>
      <c r="I136">
        <v>1717</v>
      </c>
      <c r="J136">
        <v>785</v>
      </c>
      <c r="K136" s="4">
        <v>202094.55</v>
      </c>
      <c r="L136" s="4">
        <v>2398171.83</v>
      </c>
      <c r="M136" t="s">
        <v>35</v>
      </c>
      <c r="N136">
        <f t="shared" si="14"/>
        <v>1</v>
      </c>
      <c r="O136" t="str">
        <f>IF(AND(G136&lt;=F136,H136&lt;=G136,I136&lt;=H136,J136&lt;=I136),"OK","Check")</f>
        <v>OK</v>
      </c>
      <c r="P136" s="6">
        <f t="shared" si="15"/>
        <v>4.1654405528071372</v>
      </c>
      <c r="Q136" s="6">
        <f t="shared" si="16"/>
        <v>22.706117021276594</v>
      </c>
      <c r="R136" s="6">
        <f t="shared" si="17"/>
        <v>62.847730600292827</v>
      </c>
      <c r="S136" s="6">
        <f t="shared" si="18"/>
        <v>45.71927781013396</v>
      </c>
      <c r="T136" s="6">
        <f t="shared" si="19"/>
        <v>1086.6583388814793</v>
      </c>
      <c r="U136" s="6">
        <f t="shared" si="20"/>
        <v>11.86658338881479</v>
      </c>
    </row>
    <row r="137" spans="1:21" x14ac:dyDescent="0.3">
      <c r="A137" s="2">
        <v>45396</v>
      </c>
      <c r="B137" t="s">
        <v>13</v>
      </c>
      <c r="C137" t="s">
        <v>18</v>
      </c>
      <c r="D137" t="s">
        <v>23</v>
      </c>
      <c r="E137" t="s">
        <v>29</v>
      </c>
      <c r="F137">
        <v>213540</v>
      </c>
      <c r="G137">
        <v>14462</v>
      </c>
      <c r="H137">
        <v>3456</v>
      </c>
      <c r="I137">
        <v>1678</v>
      </c>
      <c r="J137">
        <v>696</v>
      </c>
      <c r="K137" s="4">
        <v>108897.67</v>
      </c>
      <c r="L137" s="4">
        <v>3431908.04</v>
      </c>
      <c r="M137" t="s">
        <v>34</v>
      </c>
      <c r="N137">
        <f t="shared" si="14"/>
        <v>1</v>
      </c>
      <c r="O137" t="str">
        <f>IF(AND(G137&lt;=F137,H137&lt;=G137,I137&lt;=H137,J137&lt;=I137),"OK","Check")</f>
        <v>OK</v>
      </c>
      <c r="P137" s="6">
        <f t="shared" si="15"/>
        <v>6.7725016390371833</v>
      </c>
      <c r="Q137" s="6">
        <f t="shared" si="16"/>
        <v>23.897109666712765</v>
      </c>
      <c r="R137" s="6">
        <f t="shared" si="17"/>
        <v>48.55324074074074</v>
      </c>
      <c r="S137" s="6">
        <f t="shared" si="18"/>
        <v>41.477949940405246</v>
      </c>
      <c r="T137" s="6">
        <f t="shared" si="19"/>
        <v>3051.4981358187006</v>
      </c>
      <c r="U137" s="6">
        <f t="shared" si="20"/>
        <v>31.514981358187004</v>
      </c>
    </row>
    <row r="138" spans="1:21" x14ac:dyDescent="0.3">
      <c r="A138" s="2">
        <v>45397</v>
      </c>
      <c r="B138" t="s">
        <v>13</v>
      </c>
      <c r="C138" t="s">
        <v>18</v>
      </c>
      <c r="D138" t="s">
        <v>23</v>
      </c>
      <c r="E138" t="s">
        <v>29</v>
      </c>
      <c r="F138">
        <v>72233</v>
      </c>
      <c r="G138">
        <v>3762</v>
      </c>
      <c r="H138">
        <v>590</v>
      </c>
      <c r="I138">
        <v>318</v>
      </c>
      <c r="J138">
        <v>184</v>
      </c>
      <c r="K138" s="4">
        <v>57707.1</v>
      </c>
      <c r="L138" s="4">
        <v>1314021.3700000001</v>
      </c>
      <c r="M138" t="s">
        <v>34</v>
      </c>
      <c r="N138">
        <f t="shared" si="14"/>
        <v>1</v>
      </c>
      <c r="O138" t="str">
        <f>IF(AND(G138&lt;=F138,H138&lt;=G138,I138&lt;=H138,J138&lt;=I138),"OK","Check")</f>
        <v>OK</v>
      </c>
      <c r="P138" s="6">
        <f t="shared" si="15"/>
        <v>5.2081458613099274</v>
      </c>
      <c r="Q138" s="6">
        <f t="shared" si="16"/>
        <v>15.683147262094629</v>
      </c>
      <c r="R138" s="6">
        <f t="shared" si="17"/>
        <v>53.898305084745765</v>
      </c>
      <c r="S138" s="6">
        <f t="shared" si="18"/>
        <v>57.861635220125784</v>
      </c>
      <c r="T138" s="6">
        <f t="shared" si="19"/>
        <v>2177.0532048915993</v>
      </c>
      <c r="U138" s="6">
        <f t="shared" si="20"/>
        <v>22.770532048915992</v>
      </c>
    </row>
    <row r="139" spans="1:21" x14ac:dyDescent="0.3">
      <c r="A139" s="2">
        <v>45398</v>
      </c>
      <c r="B139" t="s">
        <v>13</v>
      </c>
      <c r="C139" t="s">
        <v>18</v>
      </c>
      <c r="D139" t="s">
        <v>23</v>
      </c>
      <c r="E139" t="s">
        <v>29</v>
      </c>
      <c r="F139">
        <v>167205</v>
      </c>
      <c r="G139">
        <v>5074</v>
      </c>
      <c r="H139">
        <v>1208</v>
      </c>
      <c r="I139">
        <v>604</v>
      </c>
      <c r="J139">
        <v>322</v>
      </c>
      <c r="K139" s="4">
        <v>115667.4</v>
      </c>
      <c r="L139" s="4">
        <v>2387204.39</v>
      </c>
      <c r="M139" t="s">
        <v>34</v>
      </c>
      <c r="N139">
        <f t="shared" si="14"/>
        <v>1</v>
      </c>
      <c r="O139" t="str">
        <f>IF(AND(G139&lt;=F139,H139&lt;=G139,I139&lt;=H139,J139&lt;=I139),"OK","Check")</f>
        <v>OK</v>
      </c>
      <c r="P139" s="6">
        <f t="shared" si="15"/>
        <v>3.0345982476600577</v>
      </c>
      <c r="Q139" s="6">
        <f t="shared" si="16"/>
        <v>23.807646826960976</v>
      </c>
      <c r="R139" s="6">
        <f t="shared" si="17"/>
        <v>50</v>
      </c>
      <c r="S139" s="6">
        <f t="shared" si="18"/>
        <v>53.311258278145687</v>
      </c>
      <c r="T139" s="6">
        <f t="shared" si="19"/>
        <v>1963.8523819157347</v>
      </c>
      <c r="U139" s="6">
        <f t="shared" si="20"/>
        <v>20.638523819157346</v>
      </c>
    </row>
    <row r="140" spans="1:21" x14ac:dyDescent="0.3">
      <c r="A140" s="2">
        <v>45399</v>
      </c>
      <c r="B140" t="s">
        <v>13</v>
      </c>
      <c r="C140" t="s">
        <v>18</v>
      </c>
      <c r="D140" t="s">
        <v>23</v>
      </c>
      <c r="E140" t="s">
        <v>29</v>
      </c>
      <c r="F140">
        <v>234584</v>
      </c>
      <c r="G140">
        <v>15677</v>
      </c>
      <c r="H140">
        <v>3010</v>
      </c>
      <c r="I140">
        <v>1913</v>
      </c>
      <c r="J140">
        <v>842</v>
      </c>
      <c r="K140" s="4">
        <v>190234.63</v>
      </c>
      <c r="L140" s="4">
        <v>4025666.51</v>
      </c>
      <c r="M140" t="s">
        <v>34</v>
      </c>
      <c r="N140">
        <f t="shared" si="14"/>
        <v>1</v>
      </c>
      <c r="O140" t="str">
        <f>IF(AND(G140&lt;=F140,H140&lt;=G140,I140&lt;=H140,J140&lt;=I140),"OK","Check")</f>
        <v>OK</v>
      </c>
      <c r="P140" s="6">
        <f t="shared" si="15"/>
        <v>6.6828939740135738</v>
      </c>
      <c r="Q140" s="6">
        <f t="shared" si="16"/>
        <v>19.200102060343177</v>
      </c>
      <c r="R140" s="6">
        <f t="shared" si="17"/>
        <v>63.55481727574751</v>
      </c>
      <c r="S140" s="6">
        <f t="shared" si="18"/>
        <v>44.014636696288548</v>
      </c>
      <c r="T140" s="6">
        <f t="shared" si="19"/>
        <v>2016.1586142333811</v>
      </c>
      <c r="U140" s="6">
        <f t="shared" si="20"/>
        <v>21.16158614233381</v>
      </c>
    </row>
    <row r="141" spans="1:21" x14ac:dyDescent="0.3">
      <c r="A141" s="2">
        <v>45400</v>
      </c>
      <c r="B141" t="s">
        <v>13</v>
      </c>
      <c r="C141" t="s">
        <v>18</v>
      </c>
      <c r="D141" t="s">
        <v>23</v>
      </c>
      <c r="E141" t="s">
        <v>29</v>
      </c>
      <c r="F141">
        <v>50267</v>
      </c>
      <c r="G141">
        <v>3518</v>
      </c>
      <c r="H141">
        <v>817</v>
      </c>
      <c r="I141">
        <v>515</v>
      </c>
      <c r="J141">
        <v>226</v>
      </c>
      <c r="K141" s="4">
        <v>39781.589999999997</v>
      </c>
      <c r="L141" s="4">
        <v>893338.11</v>
      </c>
      <c r="M141" t="s">
        <v>34</v>
      </c>
      <c r="N141">
        <f t="shared" si="14"/>
        <v>1</v>
      </c>
      <c r="O141" t="str">
        <f>IF(AND(G141&lt;=F141,H141&lt;=G141,I141&lt;=H141,J141&lt;=I141),"OK","Check")</f>
        <v>OK</v>
      </c>
      <c r="P141" s="6">
        <f t="shared" si="15"/>
        <v>6.9986273300574924</v>
      </c>
      <c r="Q141" s="6">
        <f t="shared" si="16"/>
        <v>23.223422399090392</v>
      </c>
      <c r="R141" s="6">
        <f t="shared" si="17"/>
        <v>63.035495716034276</v>
      </c>
      <c r="S141" s="6">
        <f t="shared" si="18"/>
        <v>43.883495145631066</v>
      </c>
      <c r="T141" s="6">
        <f t="shared" si="19"/>
        <v>2145.6068498016298</v>
      </c>
      <c r="U141" s="6">
        <f t="shared" si="20"/>
        <v>22.456068498016297</v>
      </c>
    </row>
    <row r="142" spans="1:21" x14ac:dyDescent="0.3">
      <c r="A142" s="2">
        <v>45401</v>
      </c>
      <c r="B142" t="s">
        <v>13</v>
      </c>
      <c r="C142" t="s">
        <v>18</v>
      </c>
      <c r="D142" t="s">
        <v>23</v>
      </c>
      <c r="E142" t="s">
        <v>29</v>
      </c>
      <c r="F142">
        <v>147737</v>
      </c>
      <c r="G142">
        <v>9789</v>
      </c>
      <c r="H142">
        <v>2427</v>
      </c>
      <c r="I142">
        <v>1461</v>
      </c>
      <c r="J142">
        <v>710</v>
      </c>
      <c r="K142" s="4">
        <v>115882.02</v>
      </c>
      <c r="L142" s="4">
        <v>4999994.7699999996</v>
      </c>
      <c r="M142" t="s">
        <v>32</v>
      </c>
      <c r="N142">
        <f t="shared" si="14"/>
        <v>1</v>
      </c>
      <c r="O142" t="str">
        <f>IF(AND(G142&lt;=F142,H142&lt;=G142,I142&lt;=H142,J142&lt;=I142),"OK","Check")</f>
        <v>OK</v>
      </c>
      <c r="P142" s="6">
        <f t="shared" si="15"/>
        <v>6.62596370577445</v>
      </c>
      <c r="Q142" s="6">
        <f t="shared" si="16"/>
        <v>24.793135151700888</v>
      </c>
      <c r="R142" s="6">
        <f t="shared" si="17"/>
        <v>60.197775030902342</v>
      </c>
      <c r="S142" s="6">
        <f t="shared" si="18"/>
        <v>48.596851471594796</v>
      </c>
      <c r="T142" s="6">
        <f t="shared" si="19"/>
        <v>4214.7286956164553</v>
      </c>
      <c r="U142" s="6">
        <f t="shared" si="20"/>
        <v>43.14728695616455</v>
      </c>
    </row>
    <row r="143" spans="1:21" x14ac:dyDescent="0.3">
      <c r="A143" s="2">
        <v>45402</v>
      </c>
      <c r="B143" t="s">
        <v>13</v>
      </c>
      <c r="C143" t="s">
        <v>18</v>
      </c>
      <c r="D143" t="s">
        <v>23</v>
      </c>
      <c r="E143" t="s">
        <v>29</v>
      </c>
      <c r="F143">
        <v>103945</v>
      </c>
      <c r="G143">
        <v>5827</v>
      </c>
      <c r="H143">
        <v>1089</v>
      </c>
      <c r="I143">
        <v>686</v>
      </c>
      <c r="J143">
        <v>290</v>
      </c>
      <c r="K143" s="4">
        <v>45623.839999999997</v>
      </c>
      <c r="L143" s="4">
        <v>1291459.42</v>
      </c>
      <c r="M143" t="s">
        <v>32</v>
      </c>
      <c r="N143">
        <f t="shared" si="14"/>
        <v>1</v>
      </c>
      <c r="O143" t="str">
        <f>IF(AND(G143&lt;=F143,H143&lt;=G143,I143&lt;=H143,J143&lt;=I143),"OK","Check")</f>
        <v>OK</v>
      </c>
      <c r="P143" s="6">
        <f t="shared" si="15"/>
        <v>5.6058492471980372</v>
      </c>
      <c r="Q143" s="6">
        <f t="shared" si="16"/>
        <v>18.688862193238371</v>
      </c>
      <c r="R143" s="6">
        <f t="shared" si="17"/>
        <v>62.993572084481173</v>
      </c>
      <c r="S143" s="6">
        <f t="shared" si="18"/>
        <v>42.274052478134109</v>
      </c>
      <c r="T143" s="6">
        <f t="shared" si="19"/>
        <v>2730.6679578045159</v>
      </c>
      <c r="U143" s="6">
        <f t="shared" si="20"/>
        <v>28.306679578045163</v>
      </c>
    </row>
    <row r="144" spans="1:21" x14ac:dyDescent="0.3">
      <c r="A144" s="2">
        <v>45403</v>
      </c>
      <c r="B144" t="s">
        <v>13</v>
      </c>
      <c r="C144" t="s">
        <v>18</v>
      </c>
      <c r="D144" t="s">
        <v>23</v>
      </c>
      <c r="E144" t="s">
        <v>29</v>
      </c>
      <c r="F144">
        <v>180309</v>
      </c>
      <c r="G144">
        <v>13125</v>
      </c>
      <c r="H144">
        <v>2445</v>
      </c>
      <c r="I144">
        <v>1328</v>
      </c>
      <c r="J144">
        <v>595</v>
      </c>
      <c r="K144" s="4">
        <v>107078.07</v>
      </c>
      <c r="L144" s="4">
        <v>4718406.5599999996</v>
      </c>
      <c r="M144" t="s">
        <v>32</v>
      </c>
      <c r="N144">
        <f t="shared" si="14"/>
        <v>1</v>
      </c>
      <c r="O144" t="str">
        <f>IF(AND(G144&lt;=F144,H144&lt;=G144,I144&lt;=H144,J144&lt;=I144),"OK","Check")</f>
        <v>OK</v>
      </c>
      <c r="P144" s="6">
        <f t="shared" si="15"/>
        <v>7.2791707568673774</v>
      </c>
      <c r="Q144" s="6">
        <f t="shared" si="16"/>
        <v>18.628571428571426</v>
      </c>
      <c r="R144" s="6">
        <f t="shared" si="17"/>
        <v>54.314928425357877</v>
      </c>
      <c r="S144" s="6">
        <f t="shared" si="18"/>
        <v>44.804216867469883</v>
      </c>
      <c r="T144" s="6">
        <f t="shared" si="19"/>
        <v>4306.5106515274319</v>
      </c>
      <c r="U144" s="6">
        <f t="shared" si="20"/>
        <v>44.065106515274316</v>
      </c>
    </row>
    <row r="145" spans="1:21" x14ac:dyDescent="0.3">
      <c r="A145" s="2">
        <v>45404</v>
      </c>
      <c r="B145" t="s">
        <v>13</v>
      </c>
      <c r="C145" t="s">
        <v>18</v>
      </c>
      <c r="D145" t="s">
        <v>23</v>
      </c>
      <c r="E145" t="s">
        <v>29</v>
      </c>
      <c r="F145">
        <v>165998</v>
      </c>
      <c r="G145">
        <v>7203</v>
      </c>
      <c r="H145">
        <v>1295</v>
      </c>
      <c r="I145">
        <v>834</v>
      </c>
      <c r="J145">
        <v>489</v>
      </c>
      <c r="K145" s="4">
        <v>155076.26999999999</v>
      </c>
      <c r="L145" s="4">
        <v>3804206.8</v>
      </c>
      <c r="M145" t="s">
        <v>32</v>
      </c>
      <c r="N145">
        <f t="shared" si="14"/>
        <v>1</v>
      </c>
      <c r="O145" t="str">
        <f>IF(AND(G145&lt;=F145,H145&lt;=G145,I145&lt;=H145,J145&lt;=I145),"OK","Check")</f>
        <v>OK</v>
      </c>
      <c r="P145" s="6">
        <f t="shared" si="15"/>
        <v>4.3392089061313994</v>
      </c>
      <c r="Q145" s="6">
        <f t="shared" si="16"/>
        <v>17.978620019436345</v>
      </c>
      <c r="R145" s="6">
        <f t="shared" si="17"/>
        <v>64.401544401544399</v>
      </c>
      <c r="S145" s="6">
        <f t="shared" si="18"/>
        <v>58.633093525179859</v>
      </c>
      <c r="T145" s="6">
        <f t="shared" si="19"/>
        <v>2353.1198744978842</v>
      </c>
      <c r="U145" s="6">
        <f t="shared" si="20"/>
        <v>24.531198744978841</v>
      </c>
    </row>
    <row r="146" spans="1:21" x14ac:dyDescent="0.3">
      <c r="A146" s="2">
        <v>45405</v>
      </c>
      <c r="B146" t="s">
        <v>13</v>
      </c>
      <c r="C146" t="s">
        <v>18</v>
      </c>
      <c r="D146" t="s">
        <v>23</v>
      </c>
      <c r="E146" t="s">
        <v>29</v>
      </c>
      <c r="F146">
        <v>204547</v>
      </c>
      <c r="G146">
        <v>9363</v>
      </c>
      <c r="H146">
        <v>1756</v>
      </c>
      <c r="I146">
        <v>1126</v>
      </c>
      <c r="J146">
        <v>509</v>
      </c>
      <c r="K146" s="4">
        <v>150706.37</v>
      </c>
      <c r="L146" s="4">
        <v>2219931.4900000002</v>
      </c>
      <c r="M146" t="s">
        <v>31</v>
      </c>
      <c r="N146">
        <f t="shared" si="14"/>
        <v>1</v>
      </c>
      <c r="O146" t="str">
        <f>IF(AND(G146&lt;=F146,H146&lt;=G146,I146&lt;=H146,J146&lt;=I146),"OK","Check")</f>
        <v>OK</v>
      </c>
      <c r="P146" s="6">
        <f t="shared" si="15"/>
        <v>4.5774320816242717</v>
      </c>
      <c r="Q146" s="6">
        <f t="shared" si="16"/>
        <v>18.754672647655664</v>
      </c>
      <c r="R146" s="6">
        <f t="shared" si="17"/>
        <v>64.123006833712978</v>
      </c>
      <c r="S146" s="6">
        <f t="shared" si="18"/>
        <v>45.204262877442275</v>
      </c>
      <c r="T146" s="6">
        <f t="shared" si="19"/>
        <v>1373.0176899622757</v>
      </c>
      <c r="U146" s="6">
        <f t="shared" si="20"/>
        <v>14.730176899622759</v>
      </c>
    </row>
    <row r="147" spans="1:21" x14ac:dyDescent="0.3">
      <c r="A147" s="2">
        <v>45406</v>
      </c>
      <c r="B147" t="s">
        <v>13</v>
      </c>
      <c r="C147" t="s">
        <v>18</v>
      </c>
      <c r="D147" t="s">
        <v>23</v>
      </c>
      <c r="E147" t="s">
        <v>29</v>
      </c>
      <c r="F147">
        <v>124784</v>
      </c>
      <c r="G147">
        <v>7174</v>
      </c>
      <c r="H147">
        <v>1288</v>
      </c>
      <c r="I147">
        <v>783</v>
      </c>
      <c r="J147">
        <v>351</v>
      </c>
      <c r="K147" s="4">
        <v>103744.92</v>
      </c>
      <c r="L147" s="4">
        <v>1765941.04</v>
      </c>
      <c r="M147" t="s">
        <v>31</v>
      </c>
      <c r="N147">
        <f t="shared" si="14"/>
        <v>1</v>
      </c>
      <c r="O147" t="str">
        <f>IF(AND(G147&lt;=F147,H147&lt;=G147,I147&lt;=H147,J147&lt;=I147),"OK","Check")</f>
        <v>OK</v>
      </c>
      <c r="P147" s="6">
        <f t="shared" si="15"/>
        <v>5.7491345044236439</v>
      </c>
      <c r="Q147" s="6">
        <f t="shared" si="16"/>
        <v>17.953721773069418</v>
      </c>
      <c r="R147" s="6">
        <f t="shared" si="17"/>
        <v>60.791925465838517</v>
      </c>
      <c r="S147" s="6">
        <f t="shared" si="18"/>
        <v>44.827586206896555</v>
      </c>
      <c r="T147" s="6">
        <f t="shared" si="19"/>
        <v>1602.1951918224045</v>
      </c>
      <c r="U147" s="6">
        <f t="shared" si="20"/>
        <v>17.021951918224044</v>
      </c>
    </row>
    <row r="148" spans="1:21" x14ac:dyDescent="0.3">
      <c r="A148" s="2">
        <v>45407</v>
      </c>
      <c r="B148" t="s">
        <v>13</v>
      </c>
      <c r="C148" t="s">
        <v>18</v>
      </c>
      <c r="D148" t="s">
        <v>23</v>
      </c>
      <c r="E148" t="s">
        <v>29</v>
      </c>
      <c r="F148">
        <v>132967</v>
      </c>
      <c r="G148">
        <v>10361</v>
      </c>
      <c r="H148">
        <v>1745</v>
      </c>
      <c r="I148">
        <v>990</v>
      </c>
      <c r="J148">
        <v>467</v>
      </c>
      <c r="K148" s="4">
        <v>65512.99</v>
      </c>
      <c r="L148" s="4">
        <v>1832026.4</v>
      </c>
      <c r="M148" t="s">
        <v>31</v>
      </c>
      <c r="N148">
        <f t="shared" si="14"/>
        <v>1</v>
      </c>
      <c r="O148" t="str">
        <f>IF(AND(G148&lt;=F148,H148&lt;=G148,I148&lt;=H148,J148&lt;=I148),"OK","Check")</f>
        <v>OK</v>
      </c>
      <c r="P148" s="6">
        <f t="shared" si="15"/>
        <v>7.7921589567336262</v>
      </c>
      <c r="Q148" s="6">
        <f t="shared" si="16"/>
        <v>16.842003667599652</v>
      </c>
      <c r="R148" s="6">
        <f t="shared" si="17"/>
        <v>56.733524355300858</v>
      </c>
      <c r="S148" s="6">
        <f t="shared" si="18"/>
        <v>47.171717171717169</v>
      </c>
      <c r="T148" s="6">
        <f t="shared" si="19"/>
        <v>2696.432280071479</v>
      </c>
      <c r="U148" s="6">
        <f t="shared" si="20"/>
        <v>27.96432280071479</v>
      </c>
    </row>
    <row r="149" spans="1:21" x14ac:dyDescent="0.3">
      <c r="A149" s="2">
        <v>45408</v>
      </c>
      <c r="B149" t="s">
        <v>13</v>
      </c>
      <c r="C149" t="s">
        <v>18</v>
      </c>
      <c r="D149" t="s">
        <v>23</v>
      </c>
      <c r="E149" t="s">
        <v>29</v>
      </c>
      <c r="F149">
        <v>260506</v>
      </c>
      <c r="G149">
        <v>13356</v>
      </c>
      <c r="H149">
        <v>3163</v>
      </c>
      <c r="I149">
        <v>1998</v>
      </c>
      <c r="J149">
        <v>854</v>
      </c>
      <c r="K149" s="4">
        <v>256268.15</v>
      </c>
      <c r="L149" s="4">
        <v>4686283.68</v>
      </c>
      <c r="M149" t="s">
        <v>34</v>
      </c>
      <c r="N149">
        <f t="shared" si="14"/>
        <v>1</v>
      </c>
      <c r="O149" t="str">
        <f>IF(AND(G149&lt;=F149,H149&lt;=G149,I149&lt;=H149,J149&lt;=I149),"OK","Check")</f>
        <v>OK</v>
      </c>
      <c r="P149" s="6">
        <f t="shared" si="15"/>
        <v>5.126945252700513</v>
      </c>
      <c r="Q149" s="6">
        <f t="shared" si="16"/>
        <v>23.682240191674154</v>
      </c>
      <c r="R149" s="6">
        <f t="shared" si="17"/>
        <v>63.167878596269368</v>
      </c>
      <c r="S149" s="6">
        <f t="shared" si="18"/>
        <v>42.742742742742749</v>
      </c>
      <c r="T149" s="6">
        <f t="shared" si="19"/>
        <v>1728.6641082787696</v>
      </c>
      <c r="U149" s="6">
        <f t="shared" si="20"/>
        <v>18.286641082787696</v>
      </c>
    </row>
    <row r="150" spans="1:21" x14ac:dyDescent="0.3">
      <c r="A150" s="2">
        <v>45409</v>
      </c>
      <c r="B150" t="s">
        <v>13</v>
      </c>
      <c r="C150" t="s">
        <v>18</v>
      </c>
      <c r="D150" t="s">
        <v>23</v>
      </c>
      <c r="E150" t="s">
        <v>29</v>
      </c>
      <c r="F150">
        <v>229208</v>
      </c>
      <c r="G150">
        <v>9355</v>
      </c>
      <c r="H150">
        <v>2081</v>
      </c>
      <c r="I150">
        <v>1043</v>
      </c>
      <c r="J150">
        <v>469</v>
      </c>
      <c r="K150" s="4">
        <v>178259.19</v>
      </c>
      <c r="L150" s="4">
        <v>2674523.87</v>
      </c>
      <c r="M150" t="s">
        <v>31</v>
      </c>
      <c r="N150">
        <f t="shared" si="14"/>
        <v>1</v>
      </c>
      <c r="O150" t="str">
        <f>IF(AND(G150&lt;=F150,H150&lt;=G150,I150&lt;=H150,J150&lt;=I150),"OK","Check")</f>
        <v>OK</v>
      </c>
      <c r="P150" s="6">
        <f t="shared" si="15"/>
        <v>4.0814456737984717</v>
      </c>
      <c r="Q150" s="6">
        <f t="shared" si="16"/>
        <v>22.244788882950296</v>
      </c>
      <c r="R150" s="6">
        <f t="shared" si="17"/>
        <v>50.120134550696783</v>
      </c>
      <c r="S150" s="6">
        <f t="shared" si="18"/>
        <v>44.966442953020135</v>
      </c>
      <c r="T150" s="6">
        <f t="shared" si="19"/>
        <v>1400.3567950690228</v>
      </c>
      <c r="U150" s="6">
        <f t="shared" si="20"/>
        <v>15.003567950690229</v>
      </c>
    </row>
    <row r="151" spans="1:21" x14ac:dyDescent="0.3">
      <c r="A151" s="2">
        <v>45410</v>
      </c>
      <c r="B151" t="s">
        <v>13</v>
      </c>
      <c r="C151" t="s">
        <v>18</v>
      </c>
      <c r="D151" t="s">
        <v>23</v>
      </c>
      <c r="E151" t="s">
        <v>29</v>
      </c>
      <c r="F151">
        <v>171241</v>
      </c>
      <c r="G151">
        <v>7348</v>
      </c>
      <c r="H151">
        <v>1294</v>
      </c>
      <c r="I151">
        <v>719</v>
      </c>
      <c r="J151">
        <v>302</v>
      </c>
      <c r="K151" s="4">
        <v>85665.34</v>
      </c>
      <c r="L151" s="4">
        <v>1939708.81</v>
      </c>
      <c r="M151" t="s">
        <v>34</v>
      </c>
      <c r="N151">
        <f t="shared" si="14"/>
        <v>1</v>
      </c>
      <c r="O151" t="str">
        <f>IF(AND(G151&lt;=F151,H151&lt;=G151,I151&lt;=H151,J151&lt;=I151),"OK","Check")</f>
        <v>OK</v>
      </c>
      <c r="P151" s="6">
        <f t="shared" si="15"/>
        <v>4.2910284336111095</v>
      </c>
      <c r="Q151" s="6">
        <f t="shared" si="16"/>
        <v>17.610234077299946</v>
      </c>
      <c r="R151" s="6">
        <f t="shared" si="17"/>
        <v>55.564142194744981</v>
      </c>
      <c r="S151" s="6">
        <f t="shared" si="18"/>
        <v>42.002781641168291</v>
      </c>
      <c r="T151" s="6">
        <f t="shared" si="19"/>
        <v>2164.2865947885111</v>
      </c>
      <c r="U151" s="6">
        <f t="shared" si="20"/>
        <v>22.64286594788511</v>
      </c>
    </row>
    <row r="152" spans="1:21" x14ac:dyDescent="0.3">
      <c r="A152" s="2">
        <v>45411</v>
      </c>
      <c r="B152" t="s">
        <v>13</v>
      </c>
      <c r="C152" t="s">
        <v>18</v>
      </c>
      <c r="D152" t="s">
        <v>23</v>
      </c>
      <c r="E152" t="s">
        <v>29</v>
      </c>
      <c r="F152">
        <v>161956</v>
      </c>
      <c r="G152">
        <v>10797</v>
      </c>
      <c r="H152">
        <v>1786</v>
      </c>
      <c r="I152">
        <v>1036</v>
      </c>
      <c r="J152">
        <v>542</v>
      </c>
      <c r="K152" s="4">
        <v>150183.85999999999</v>
      </c>
      <c r="L152" s="4">
        <v>2235498.12</v>
      </c>
      <c r="M152" t="s">
        <v>35</v>
      </c>
      <c r="N152">
        <f t="shared" si="14"/>
        <v>1</v>
      </c>
      <c r="O152" t="str">
        <f>IF(AND(G152&lt;=F152,H152&lt;=G152,I152&lt;=H152,J152&lt;=I152),"OK","Check")</f>
        <v>OK</v>
      </c>
      <c r="P152" s="6">
        <f t="shared" si="15"/>
        <v>6.6666255032230977</v>
      </c>
      <c r="Q152" s="6">
        <f t="shared" si="16"/>
        <v>16.541631934796701</v>
      </c>
      <c r="R152" s="6">
        <f t="shared" si="17"/>
        <v>58.006718924971999</v>
      </c>
      <c r="S152" s="6">
        <f t="shared" si="18"/>
        <v>52.316602316602314</v>
      </c>
      <c r="T152" s="6">
        <f t="shared" si="19"/>
        <v>1388.5075666586281</v>
      </c>
      <c r="U152" s="6">
        <f t="shared" si="20"/>
        <v>14.885075666586278</v>
      </c>
    </row>
    <row r="153" spans="1:21" x14ac:dyDescent="0.3">
      <c r="A153" s="2">
        <v>45412</v>
      </c>
      <c r="B153" t="s">
        <v>13</v>
      </c>
      <c r="C153" t="s">
        <v>18</v>
      </c>
      <c r="D153" t="s">
        <v>23</v>
      </c>
      <c r="E153" t="s">
        <v>29</v>
      </c>
      <c r="F153">
        <v>61492</v>
      </c>
      <c r="G153">
        <v>4436</v>
      </c>
      <c r="H153">
        <v>909</v>
      </c>
      <c r="I153">
        <v>457</v>
      </c>
      <c r="J153">
        <v>244</v>
      </c>
      <c r="K153" s="4">
        <v>50083.82</v>
      </c>
      <c r="L153" s="4">
        <v>751942.31</v>
      </c>
      <c r="M153" t="s">
        <v>34</v>
      </c>
      <c r="N153">
        <f t="shared" si="14"/>
        <v>1</v>
      </c>
      <c r="O153" t="str">
        <f>IF(AND(G153&lt;=F153,H153&lt;=G153,I153&lt;=H153,J153&lt;=I153),"OK","Check")</f>
        <v>OK</v>
      </c>
      <c r="P153" s="6">
        <f t="shared" si="15"/>
        <v>7.2139465296298706</v>
      </c>
      <c r="Q153" s="6">
        <f t="shared" si="16"/>
        <v>20.491433724075744</v>
      </c>
      <c r="R153" s="6">
        <f t="shared" si="17"/>
        <v>50.275027502750277</v>
      </c>
      <c r="S153" s="6">
        <f t="shared" si="18"/>
        <v>53.391684901531733</v>
      </c>
      <c r="T153" s="6">
        <f t="shared" si="19"/>
        <v>1401.3677271422191</v>
      </c>
      <c r="U153" s="6">
        <f t="shared" si="20"/>
        <v>15.013677271422189</v>
      </c>
    </row>
    <row r="154" spans="1:21" x14ac:dyDescent="0.3">
      <c r="A154" s="2">
        <v>45413</v>
      </c>
      <c r="B154" t="s">
        <v>13</v>
      </c>
      <c r="C154" t="s">
        <v>18</v>
      </c>
      <c r="D154" t="s">
        <v>23</v>
      </c>
      <c r="E154" t="s">
        <v>29</v>
      </c>
      <c r="F154">
        <v>203882</v>
      </c>
      <c r="G154">
        <v>9925</v>
      </c>
      <c r="H154">
        <v>2110</v>
      </c>
      <c r="I154">
        <v>963</v>
      </c>
      <c r="J154">
        <v>504</v>
      </c>
      <c r="K154" s="4">
        <v>181726.55</v>
      </c>
      <c r="L154" s="4">
        <v>3279195.9</v>
      </c>
      <c r="M154" t="s">
        <v>32</v>
      </c>
      <c r="N154">
        <f t="shared" si="14"/>
        <v>1</v>
      </c>
      <c r="O154" t="str">
        <f>IF(AND(G154&lt;=F154,H154&lt;=G154,I154&lt;=H154,J154&lt;=I154),"OK","Check")</f>
        <v>OK</v>
      </c>
      <c r="P154" s="6">
        <f t="shared" si="15"/>
        <v>4.8680118892300452</v>
      </c>
      <c r="Q154" s="6">
        <f t="shared" si="16"/>
        <v>21.259445843828715</v>
      </c>
      <c r="R154" s="6">
        <f t="shared" si="17"/>
        <v>45.639810426540286</v>
      </c>
      <c r="S154" s="6">
        <f t="shared" si="18"/>
        <v>52.336448598130836</v>
      </c>
      <c r="T154" s="6">
        <f t="shared" si="19"/>
        <v>1704.4671513325929</v>
      </c>
      <c r="U154" s="6">
        <f t="shared" si="20"/>
        <v>18.04467151332593</v>
      </c>
    </row>
    <row r="155" spans="1:21" x14ac:dyDescent="0.3">
      <c r="A155" s="2">
        <v>45414</v>
      </c>
      <c r="B155" t="s">
        <v>13</v>
      </c>
      <c r="C155" t="s">
        <v>18</v>
      </c>
      <c r="D155" t="s">
        <v>23</v>
      </c>
      <c r="E155" t="s">
        <v>29</v>
      </c>
      <c r="F155">
        <v>52572</v>
      </c>
      <c r="G155">
        <v>2746</v>
      </c>
      <c r="H155">
        <v>633</v>
      </c>
      <c r="I155">
        <v>286</v>
      </c>
      <c r="J155">
        <v>115</v>
      </c>
      <c r="K155" s="4">
        <v>31495.18</v>
      </c>
      <c r="L155" s="4">
        <v>721471.98</v>
      </c>
      <c r="M155" t="s">
        <v>34</v>
      </c>
      <c r="N155">
        <f t="shared" si="14"/>
        <v>1</v>
      </c>
      <c r="O155" t="str">
        <f>IF(AND(G155&lt;=F155,H155&lt;=G155,I155&lt;=H155,J155&lt;=I155),"OK","Check")</f>
        <v>OK</v>
      </c>
      <c r="P155" s="6">
        <f t="shared" si="15"/>
        <v>5.2233127900783689</v>
      </c>
      <c r="Q155" s="6">
        <f t="shared" si="16"/>
        <v>23.051711580480699</v>
      </c>
      <c r="R155" s="6">
        <f t="shared" si="17"/>
        <v>45.181674565560819</v>
      </c>
      <c r="S155" s="6">
        <f t="shared" si="18"/>
        <v>40.209790209790206</v>
      </c>
      <c r="T155" s="6">
        <f t="shared" si="19"/>
        <v>2190.7377573330264</v>
      </c>
      <c r="U155" s="6">
        <f t="shared" si="20"/>
        <v>22.907377573330269</v>
      </c>
    </row>
    <row r="156" spans="1:21" x14ac:dyDescent="0.3">
      <c r="A156" s="2">
        <v>45415</v>
      </c>
      <c r="B156" t="s">
        <v>13</v>
      </c>
      <c r="C156" t="s">
        <v>18</v>
      </c>
      <c r="D156" t="s">
        <v>23</v>
      </c>
      <c r="E156" t="s">
        <v>29</v>
      </c>
      <c r="F156">
        <v>182398</v>
      </c>
      <c r="G156">
        <v>9821</v>
      </c>
      <c r="H156">
        <v>2358</v>
      </c>
      <c r="I156">
        <v>1144</v>
      </c>
      <c r="J156">
        <v>659</v>
      </c>
      <c r="K156" s="4">
        <v>117138.56</v>
      </c>
      <c r="L156" s="4">
        <v>4142036.47</v>
      </c>
      <c r="M156" t="s">
        <v>31</v>
      </c>
      <c r="N156">
        <f t="shared" si="14"/>
        <v>1</v>
      </c>
      <c r="O156" t="str">
        <f>IF(AND(G156&lt;=F156,H156&lt;=G156,I156&lt;=H156,J156&lt;=I156),"OK","Check")</f>
        <v>OK</v>
      </c>
      <c r="P156" s="6">
        <f t="shared" si="15"/>
        <v>5.3843792146843716</v>
      </c>
      <c r="Q156" s="6">
        <f t="shared" si="16"/>
        <v>24.00977497199878</v>
      </c>
      <c r="R156" s="6">
        <f t="shared" si="17"/>
        <v>48.51569126378287</v>
      </c>
      <c r="S156" s="6">
        <f t="shared" si="18"/>
        <v>57.604895104895107</v>
      </c>
      <c r="T156" s="6">
        <f t="shared" si="19"/>
        <v>3436.0145028246889</v>
      </c>
      <c r="U156" s="6">
        <f t="shared" si="20"/>
        <v>35.36014502824689</v>
      </c>
    </row>
    <row r="157" spans="1:21" x14ac:dyDescent="0.3">
      <c r="A157" s="2">
        <v>45416</v>
      </c>
      <c r="B157" t="s">
        <v>13</v>
      </c>
      <c r="C157" t="s">
        <v>18</v>
      </c>
      <c r="D157" t="s">
        <v>23</v>
      </c>
      <c r="E157" t="s">
        <v>29</v>
      </c>
      <c r="F157">
        <v>291292</v>
      </c>
      <c r="G157">
        <v>19445</v>
      </c>
      <c r="H157">
        <v>3115</v>
      </c>
      <c r="I157">
        <v>1736</v>
      </c>
      <c r="J157">
        <v>1028</v>
      </c>
      <c r="K157" s="4">
        <v>264152.71999999997</v>
      </c>
      <c r="L157" s="4">
        <v>6279650.6100000003</v>
      </c>
      <c r="M157" t="s">
        <v>32</v>
      </c>
      <c r="N157">
        <f t="shared" si="14"/>
        <v>1</v>
      </c>
      <c r="O157" t="str">
        <f>IF(AND(G157&lt;=F157,H157&lt;=G157,I157&lt;=H157,J157&lt;=I157),"OK","Check")</f>
        <v>OK</v>
      </c>
      <c r="P157" s="6">
        <f t="shared" si="15"/>
        <v>6.6754322123504934</v>
      </c>
      <c r="Q157" s="6">
        <f t="shared" si="16"/>
        <v>16.019542298791464</v>
      </c>
      <c r="R157" s="6">
        <f t="shared" si="17"/>
        <v>55.730337078651679</v>
      </c>
      <c r="S157" s="6">
        <f t="shared" si="18"/>
        <v>59.21658986175116</v>
      </c>
      <c r="T157" s="6">
        <f t="shared" si="19"/>
        <v>2277.2803134489782</v>
      </c>
      <c r="U157" s="6">
        <f t="shared" si="20"/>
        <v>23.772803134489781</v>
      </c>
    </row>
    <row r="158" spans="1:21" x14ac:dyDescent="0.3">
      <c r="A158" s="2">
        <v>45417</v>
      </c>
      <c r="B158" t="s">
        <v>13</v>
      </c>
      <c r="C158" t="s">
        <v>18</v>
      </c>
      <c r="D158" t="s">
        <v>23</v>
      </c>
      <c r="E158" t="s">
        <v>29</v>
      </c>
      <c r="F158">
        <v>209896</v>
      </c>
      <c r="G158">
        <v>11020</v>
      </c>
      <c r="H158">
        <v>2016</v>
      </c>
      <c r="I158">
        <v>1282</v>
      </c>
      <c r="J158">
        <v>676</v>
      </c>
      <c r="K158" s="4">
        <v>134786.32</v>
      </c>
      <c r="L158" s="4">
        <v>5166291.92</v>
      </c>
      <c r="M158" t="s">
        <v>34</v>
      </c>
      <c r="N158">
        <f t="shared" si="14"/>
        <v>1</v>
      </c>
      <c r="O158" t="str">
        <f>IF(AND(G158&lt;=F158,H158&lt;=G158,I158&lt;=H158,J158&lt;=I158),"OK","Check")</f>
        <v>OK</v>
      </c>
      <c r="P158" s="6">
        <f t="shared" si="15"/>
        <v>5.2502191561535234</v>
      </c>
      <c r="Q158" s="6">
        <f t="shared" si="16"/>
        <v>18.294010889292196</v>
      </c>
      <c r="R158" s="6">
        <f t="shared" si="17"/>
        <v>63.591269841269835</v>
      </c>
      <c r="S158" s="6">
        <f t="shared" si="18"/>
        <v>52.730109204368169</v>
      </c>
      <c r="T158" s="6">
        <f t="shared" si="19"/>
        <v>3732.9497533577587</v>
      </c>
      <c r="U158" s="6">
        <f t="shared" si="20"/>
        <v>38.329497533577587</v>
      </c>
    </row>
    <row r="159" spans="1:21" x14ac:dyDescent="0.3">
      <c r="A159" s="2">
        <v>45418</v>
      </c>
      <c r="B159" t="s">
        <v>13</v>
      </c>
      <c r="C159" t="s">
        <v>18</v>
      </c>
      <c r="D159" t="s">
        <v>23</v>
      </c>
      <c r="E159" t="s">
        <v>29</v>
      </c>
      <c r="F159">
        <v>212729</v>
      </c>
      <c r="G159">
        <v>11086</v>
      </c>
      <c r="H159">
        <v>2540</v>
      </c>
      <c r="I159">
        <v>1442</v>
      </c>
      <c r="J159">
        <v>785</v>
      </c>
      <c r="K159" s="4">
        <v>148219.13</v>
      </c>
      <c r="L159" s="4">
        <v>2403528.2200000002</v>
      </c>
      <c r="M159" t="s">
        <v>31</v>
      </c>
      <c r="N159">
        <f t="shared" si="14"/>
        <v>1</v>
      </c>
      <c r="O159" t="str">
        <f>IF(AND(G159&lt;=F159,H159&lt;=G159,I159&lt;=H159,J159&lt;=I159),"OK","Check")</f>
        <v>OK</v>
      </c>
      <c r="P159" s="6">
        <f t="shared" si="15"/>
        <v>5.211325207188489</v>
      </c>
      <c r="Q159" s="6">
        <f t="shared" si="16"/>
        <v>22.911780624210717</v>
      </c>
      <c r="R159" s="6">
        <f t="shared" si="17"/>
        <v>56.771653543307089</v>
      </c>
      <c r="S159" s="6">
        <f t="shared" si="18"/>
        <v>54.438280166435504</v>
      </c>
      <c r="T159" s="6">
        <f t="shared" si="19"/>
        <v>1521.6045931452979</v>
      </c>
      <c r="U159" s="6">
        <f t="shared" si="20"/>
        <v>16.216045931452978</v>
      </c>
    </row>
    <row r="160" spans="1:21" x14ac:dyDescent="0.3">
      <c r="A160" s="2">
        <v>45419</v>
      </c>
      <c r="B160" t="s">
        <v>13</v>
      </c>
      <c r="C160" t="s">
        <v>18</v>
      </c>
      <c r="D160" t="s">
        <v>23</v>
      </c>
      <c r="E160" t="s">
        <v>29</v>
      </c>
      <c r="F160">
        <v>53575</v>
      </c>
      <c r="G160">
        <v>1779</v>
      </c>
      <c r="H160">
        <v>383</v>
      </c>
      <c r="I160">
        <v>198</v>
      </c>
      <c r="J160">
        <v>83</v>
      </c>
      <c r="K160" s="4">
        <v>31495.13</v>
      </c>
      <c r="L160" s="4">
        <v>562987.04</v>
      </c>
      <c r="M160" t="s">
        <v>32</v>
      </c>
      <c r="N160">
        <f t="shared" si="14"/>
        <v>1</v>
      </c>
      <c r="O160" t="str">
        <f>IF(AND(G160&lt;=F160,H160&lt;=G160,I160&lt;=H160,J160&lt;=I160),"OK","Check")</f>
        <v>OK</v>
      </c>
      <c r="P160" s="6">
        <f t="shared" si="15"/>
        <v>3.3205786280914604</v>
      </c>
      <c r="Q160" s="6">
        <f t="shared" si="16"/>
        <v>21.52894884766723</v>
      </c>
      <c r="R160" s="6">
        <f t="shared" si="17"/>
        <v>51.697127937336816</v>
      </c>
      <c r="S160" s="6">
        <f t="shared" si="18"/>
        <v>41.919191919191917</v>
      </c>
      <c r="T160" s="6">
        <f t="shared" si="19"/>
        <v>1687.5368033089562</v>
      </c>
      <c r="U160" s="6">
        <f t="shared" si="20"/>
        <v>17.875368033089561</v>
      </c>
    </row>
    <row r="161" spans="1:21" x14ac:dyDescent="0.3">
      <c r="A161" s="2">
        <v>45420</v>
      </c>
      <c r="B161" t="s">
        <v>13</v>
      </c>
      <c r="C161" t="s">
        <v>18</v>
      </c>
      <c r="D161" t="s">
        <v>23</v>
      </c>
      <c r="E161" t="s">
        <v>29</v>
      </c>
      <c r="F161">
        <v>77717</v>
      </c>
      <c r="G161">
        <v>5458</v>
      </c>
      <c r="H161">
        <v>1240</v>
      </c>
      <c r="I161">
        <v>600</v>
      </c>
      <c r="J161">
        <v>252</v>
      </c>
      <c r="K161" s="4">
        <v>39733.879999999997</v>
      </c>
      <c r="L161" s="4">
        <v>1374432.65</v>
      </c>
      <c r="M161" t="s">
        <v>33</v>
      </c>
      <c r="N161">
        <f t="shared" si="14"/>
        <v>1</v>
      </c>
      <c r="O161" t="str">
        <f>IF(AND(G161&lt;=F161,H161&lt;=G161,I161&lt;=H161,J161&lt;=I161),"OK","Check")</f>
        <v>OK</v>
      </c>
      <c r="P161" s="6">
        <f t="shared" si="15"/>
        <v>7.0229164790200347</v>
      </c>
      <c r="Q161" s="6">
        <f t="shared" si="16"/>
        <v>22.718944668376693</v>
      </c>
      <c r="R161" s="6">
        <f t="shared" si="17"/>
        <v>48.387096774193552</v>
      </c>
      <c r="S161" s="6">
        <f t="shared" si="18"/>
        <v>42</v>
      </c>
      <c r="T161" s="6">
        <f t="shared" si="19"/>
        <v>3359.0949839280738</v>
      </c>
      <c r="U161" s="6">
        <f t="shared" si="20"/>
        <v>34.590949839280732</v>
      </c>
    </row>
    <row r="162" spans="1:21" x14ac:dyDescent="0.3">
      <c r="A162" s="2">
        <v>45421</v>
      </c>
      <c r="B162" t="s">
        <v>13</v>
      </c>
      <c r="C162" t="s">
        <v>18</v>
      </c>
      <c r="D162" t="s">
        <v>23</v>
      </c>
      <c r="E162" t="s">
        <v>29</v>
      </c>
      <c r="F162">
        <v>254812</v>
      </c>
      <c r="G162">
        <v>8231</v>
      </c>
      <c r="H162">
        <v>1789</v>
      </c>
      <c r="I162">
        <v>905</v>
      </c>
      <c r="J162">
        <v>508</v>
      </c>
      <c r="K162" s="4">
        <v>214463</v>
      </c>
      <c r="L162" s="4">
        <v>3712872.07</v>
      </c>
      <c r="M162" t="s">
        <v>31</v>
      </c>
      <c r="N162">
        <f t="shared" si="14"/>
        <v>1</v>
      </c>
      <c r="O162" t="str">
        <f>IF(AND(G162&lt;=F162,H162&lt;=G162,I162&lt;=H162,J162&lt;=I162),"OK","Check")</f>
        <v>OK</v>
      </c>
      <c r="P162" s="6">
        <f t="shared" si="15"/>
        <v>3.2302246362023763</v>
      </c>
      <c r="Q162" s="6">
        <f t="shared" si="16"/>
        <v>21.734904628842184</v>
      </c>
      <c r="R162" s="6">
        <f t="shared" si="17"/>
        <v>50.586920067076576</v>
      </c>
      <c r="S162" s="6">
        <f t="shared" si="18"/>
        <v>56.132596685082866</v>
      </c>
      <c r="T162" s="6">
        <f t="shared" si="19"/>
        <v>1631.2413190154011</v>
      </c>
      <c r="U162" s="6">
        <f t="shared" si="20"/>
        <v>17.312413190154011</v>
      </c>
    </row>
    <row r="163" spans="1:21" x14ac:dyDescent="0.3">
      <c r="A163" s="2">
        <v>45422</v>
      </c>
      <c r="B163" t="s">
        <v>13</v>
      </c>
      <c r="C163" t="s">
        <v>18</v>
      </c>
      <c r="D163" t="s">
        <v>23</v>
      </c>
      <c r="E163" t="s">
        <v>29</v>
      </c>
      <c r="F163">
        <v>159338</v>
      </c>
      <c r="G163">
        <v>8621</v>
      </c>
      <c r="H163">
        <v>1987</v>
      </c>
      <c r="I163">
        <v>1010</v>
      </c>
      <c r="J163">
        <v>560</v>
      </c>
      <c r="K163" s="4">
        <v>121166.88</v>
      </c>
      <c r="L163" s="4">
        <v>2837406.55</v>
      </c>
      <c r="M163" t="s">
        <v>31</v>
      </c>
      <c r="N163">
        <f t="shared" si="14"/>
        <v>1</v>
      </c>
      <c r="O163" t="str">
        <f>IF(AND(G163&lt;=F163,H163&lt;=G163,I163&lt;=H163,J163&lt;=I163),"OK","Check")</f>
        <v>OK</v>
      </c>
      <c r="P163" s="6">
        <f t="shared" si="15"/>
        <v>5.4105109892178893</v>
      </c>
      <c r="Q163" s="6">
        <f t="shared" si="16"/>
        <v>23.04837025867069</v>
      </c>
      <c r="R163" s="6">
        <f t="shared" si="17"/>
        <v>50.830397584297934</v>
      </c>
      <c r="S163" s="6">
        <f t="shared" si="18"/>
        <v>55.445544554455452</v>
      </c>
      <c r="T163" s="6">
        <f t="shared" si="19"/>
        <v>2241.7344327096644</v>
      </c>
      <c r="U163" s="6">
        <f t="shared" si="20"/>
        <v>23.417344327096643</v>
      </c>
    </row>
    <row r="164" spans="1:21" x14ac:dyDescent="0.3">
      <c r="A164" s="2">
        <v>45423</v>
      </c>
      <c r="B164" t="s">
        <v>13</v>
      </c>
      <c r="C164" t="s">
        <v>18</v>
      </c>
      <c r="D164" t="s">
        <v>23</v>
      </c>
      <c r="E164" t="s">
        <v>29</v>
      </c>
      <c r="F164">
        <v>107691</v>
      </c>
      <c r="G164">
        <v>5395</v>
      </c>
      <c r="H164">
        <v>912</v>
      </c>
      <c r="I164">
        <v>434</v>
      </c>
      <c r="J164">
        <v>235</v>
      </c>
      <c r="K164" s="4">
        <v>50972.7</v>
      </c>
      <c r="L164" s="4">
        <v>1299358.1000000001</v>
      </c>
      <c r="M164" t="s">
        <v>33</v>
      </c>
      <c r="N164">
        <f t="shared" si="14"/>
        <v>1</v>
      </c>
      <c r="O164" t="str">
        <f>IF(AND(G164&lt;=F164,H164&lt;=G164,I164&lt;=H164,J164&lt;=I164),"OK","Check")</f>
        <v>OK</v>
      </c>
      <c r="P164" s="6">
        <f t="shared" si="15"/>
        <v>5.0097036892590836</v>
      </c>
      <c r="Q164" s="6">
        <f t="shared" si="16"/>
        <v>16.904541241890637</v>
      </c>
      <c r="R164" s="6">
        <f t="shared" si="17"/>
        <v>47.587719298245609</v>
      </c>
      <c r="S164" s="6">
        <f t="shared" si="18"/>
        <v>54.147465437788021</v>
      </c>
      <c r="T164" s="6">
        <f t="shared" si="19"/>
        <v>2449.1255122840266</v>
      </c>
      <c r="U164" s="6">
        <f t="shared" si="20"/>
        <v>25.491255122840268</v>
      </c>
    </row>
    <row r="165" spans="1:21" x14ac:dyDescent="0.3">
      <c r="A165" s="2">
        <v>45424</v>
      </c>
      <c r="B165" t="s">
        <v>13</v>
      </c>
      <c r="C165" t="s">
        <v>18</v>
      </c>
      <c r="D165" t="s">
        <v>23</v>
      </c>
      <c r="E165" t="s">
        <v>29</v>
      </c>
      <c r="F165">
        <v>150217</v>
      </c>
      <c r="G165">
        <v>9087</v>
      </c>
      <c r="H165">
        <v>1717</v>
      </c>
      <c r="I165">
        <v>921</v>
      </c>
      <c r="J165">
        <v>420</v>
      </c>
      <c r="K165" s="4">
        <v>84200.07</v>
      </c>
      <c r="L165" s="4">
        <v>2218829.9500000002</v>
      </c>
      <c r="M165" t="s">
        <v>33</v>
      </c>
      <c r="N165">
        <f t="shared" si="14"/>
        <v>1</v>
      </c>
      <c r="O165" t="str">
        <f>IF(AND(G165&lt;=F165,H165&lt;=G165,I165&lt;=H165,J165&lt;=I165),"OK","Check")</f>
        <v>OK</v>
      </c>
      <c r="P165" s="6">
        <f t="shared" si="15"/>
        <v>6.0492487534699801</v>
      </c>
      <c r="Q165" s="6">
        <f t="shared" si="16"/>
        <v>18.895124903708592</v>
      </c>
      <c r="R165" s="6">
        <f t="shared" si="17"/>
        <v>53.640069889341881</v>
      </c>
      <c r="S165" s="6">
        <f t="shared" si="18"/>
        <v>45.602605863192181</v>
      </c>
      <c r="T165" s="6">
        <f t="shared" si="19"/>
        <v>2535.1877735968633</v>
      </c>
      <c r="U165" s="6">
        <f t="shared" si="20"/>
        <v>26.351877735968628</v>
      </c>
    </row>
    <row r="166" spans="1:21" x14ac:dyDescent="0.3">
      <c r="A166" s="2">
        <v>45425</v>
      </c>
      <c r="B166" t="s">
        <v>13</v>
      </c>
      <c r="C166" t="s">
        <v>18</v>
      </c>
      <c r="D166" t="s">
        <v>23</v>
      </c>
      <c r="E166" t="s">
        <v>29</v>
      </c>
      <c r="F166">
        <v>227093</v>
      </c>
      <c r="G166">
        <v>11820</v>
      </c>
      <c r="H166">
        <v>2504</v>
      </c>
      <c r="I166">
        <v>1225</v>
      </c>
      <c r="J166">
        <v>522</v>
      </c>
      <c r="K166" s="4">
        <v>192460.38</v>
      </c>
      <c r="L166" s="4">
        <v>2362547.8199999998</v>
      </c>
      <c r="M166" t="s">
        <v>33</v>
      </c>
      <c r="N166">
        <f t="shared" si="14"/>
        <v>1</v>
      </c>
      <c r="O166" t="str">
        <f>IF(AND(G166&lt;=F166,H166&lt;=G166,I166&lt;=H166,J166&lt;=I166),"OK","Check")</f>
        <v>OK</v>
      </c>
      <c r="P166" s="6">
        <f t="shared" si="15"/>
        <v>5.2049160476104497</v>
      </c>
      <c r="Q166" s="6">
        <f t="shared" si="16"/>
        <v>21.184433164128595</v>
      </c>
      <c r="R166" s="6">
        <f t="shared" si="17"/>
        <v>48.921725239616613</v>
      </c>
      <c r="S166" s="6">
        <f t="shared" si="18"/>
        <v>42.612244897959187</v>
      </c>
      <c r="T166" s="6">
        <f t="shared" si="19"/>
        <v>1127.5502209857425</v>
      </c>
      <c r="U166" s="6">
        <f t="shared" si="20"/>
        <v>12.275502209857425</v>
      </c>
    </row>
    <row r="167" spans="1:21" x14ac:dyDescent="0.3">
      <c r="A167" s="2">
        <v>45426</v>
      </c>
      <c r="B167" t="s">
        <v>13</v>
      </c>
      <c r="C167" t="s">
        <v>18</v>
      </c>
      <c r="D167" t="s">
        <v>23</v>
      </c>
      <c r="E167" t="s">
        <v>29</v>
      </c>
      <c r="F167">
        <v>212823</v>
      </c>
      <c r="G167">
        <v>12602</v>
      </c>
      <c r="H167">
        <v>1904</v>
      </c>
      <c r="I167">
        <v>1005</v>
      </c>
      <c r="J167">
        <v>425</v>
      </c>
      <c r="K167" s="4">
        <v>107267.35</v>
      </c>
      <c r="L167" s="4">
        <v>1912334.83</v>
      </c>
      <c r="M167" t="s">
        <v>34</v>
      </c>
      <c r="N167">
        <f t="shared" si="14"/>
        <v>1</v>
      </c>
      <c r="O167" t="str">
        <f>IF(AND(G167&lt;=F167,H167&lt;=G167,I167&lt;=H167,J167&lt;=I167),"OK","Check")</f>
        <v>OK</v>
      </c>
      <c r="P167" s="6">
        <f t="shared" si="15"/>
        <v>5.921352485398665</v>
      </c>
      <c r="Q167" s="6">
        <f t="shared" si="16"/>
        <v>15.108712902713856</v>
      </c>
      <c r="R167" s="6">
        <f t="shared" si="17"/>
        <v>52.783613445378151</v>
      </c>
      <c r="S167" s="6">
        <f t="shared" si="18"/>
        <v>42.288557213930353</v>
      </c>
      <c r="T167" s="6">
        <f t="shared" si="19"/>
        <v>1682.7743763596284</v>
      </c>
      <c r="U167" s="6">
        <f t="shared" si="20"/>
        <v>17.827743763596285</v>
      </c>
    </row>
    <row r="168" spans="1:21" x14ac:dyDescent="0.3">
      <c r="A168" s="2">
        <v>45427</v>
      </c>
      <c r="B168" t="s">
        <v>13</v>
      </c>
      <c r="C168" t="s">
        <v>18</v>
      </c>
      <c r="D168" t="s">
        <v>23</v>
      </c>
      <c r="E168" t="s">
        <v>29</v>
      </c>
      <c r="F168">
        <v>129087</v>
      </c>
      <c r="G168">
        <v>4033</v>
      </c>
      <c r="H168">
        <v>640</v>
      </c>
      <c r="I168">
        <v>346</v>
      </c>
      <c r="J168">
        <v>198</v>
      </c>
      <c r="K168" s="4">
        <v>101205.53</v>
      </c>
      <c r="L168" s="4">
        <v>1581964.16</v>
      </c>
      <c r="M168" t="s">
        <v>34</v>
      </c>
      <c r="N168">
        <f t="shared" si="14"/>
        <v>1</v>
      </c>
      <c r="O168" t="str">
        <f>IF(AND(G168&lt;=F168,H168&lt;=G168,I168&lt;=H168,J168&lt;=I168),"OK","Check")</f>
        <v>OK</v>
      </c>
      <c r="P168" s="6">
        <f t="shared" si="15"/>
        <v>3.124249537133871</v>
      </c>
      <c r="Q168" s="6">
        <f t="shared" si="16"/>
        <v>15.869080089263576</v>
      </c>
      <c r="R168" s="6">
        <f t="shared" si="17"/>
        <v>54.0625</v>
      </c>
      <c r="S168" s="6">
        <f t="shared" si="18"/>
        <v>57.225433526011557</v>
      </c>
      <c r="T168" s="6">
        <f t="shared" si="19"/>
        <v>1463.1202761351083</v>
      </c>
      <c r="U168" s="6">
        <f t="shared" si="20"/>
        <v>15.631202761351084</v>
      </c>
    </row>
    <row r="169" spans="1:21" x14ac:dyDescent="0.3">
      <c r="A169" s="2">
        <v>45428</v>
      </c>
      <c r="B169" t="s">
        <v>13</v>
      </c>
      <c r="C169" t="s">
        <v>18</v>
      </c>
      <c r="D169" t="s">
        <v>23</v>
      </c>
      <c r="E169" t="s">
        <v>29</v>
      </c>
      <c r="F169">
        <v>95904</v>
      </c>
      <c r="G169">
        <v>4183</v>
      </c>
      <c r="H169">
        <v>667</v>
      </c>
      <c r="I169">
        <v>322</v>
      </c>
      <c r="J169">
        <v>147</v>
      </c>
      <c r="K169" s="4">
        <v>66125.77</v>
      </c>
      <c r="L169" s="4">
        <v>751735</v>
      </c>
      <c r="M169" t="s">
        <v>33</v>
      </c>
      <c r="N169">
        <f t="shared" si="14"/>
        <v>1</v>
      </c>
      <c r="O169" t="str">
        <f>IF(AND(G169&lt;=F169,H169&lt;=G169,I169&lt;=H169,J169&lt;=I169),"OK","Check")</f>
        <v>OK</v>
      </c>
      <c r="P169" s="6">
        <f t="shared" si="15"/>
        <v>4.3616533199866536</v>
      </c>
      <c r="Q169" s="6">
        <f t="shared" si="16"/>
        <v>15.945493664833851</v>
      </c>
      <c r="R169" s="6">
        <f t="shared" si="17"/>
        <v>48.275862068965516</v>
      </c>
      <c r="S169" s="6">
        <f t="shared" si="18"/>
        <v>45.652173913043477</v>
      </c>
      <c r="T169" s="6">
        <f t="shared" si="19"/>
        <v>1036.8260815715264</v>
      </c>
      <c r="U169" s="6">
        <f t="shared" si="20"/>
        <v>11.368260815715264</v>
      </c>
    </row>
    <row r="170" spans="1:21" x14ac:dyDescent="0.3">
      <c r="A170" s="2">
        <v>45429</v>
      </c>
      <c r="B170" t="s">
        <v>13</v>
      </c>
      <c r="C170" t="s">
        <v>18</v>
      </c>
      <c r="D170" t="s">
        <v>23</v>
      </c>
      <c r="E170" t="s">
        <v>29</v>
      </c>
      <c r="F170">
        <v>135876</v>
      </c>
      <c r="G170">
        <v>8214</v>
      </c>
      <c r="H170">
        <v>1729</v>
      </c>
      <c r="I170">
        <v>909</v>
      </c>
      <c r="J170">
        <v>441</v>
      </c>
      <c r="K170" s="4">
        <v>85485.01</v>
      </c>
      <c r="L170" s="4">
        <v>2700293.92</v>
      </c>
      <c r="M170" t="s">
        <v>31</v>
      </c>
      <c r="N170">
        <f t="shared" si="14"/>
        <v>1</v>
      </c>
      <c r="O170" t="str">
        <f>IF(AND(G170&lt;=F170,H170&lt;=G170,I170&lt;=H170,J170&lt;=I170),"OK","Check")</f>
        <v>OK</v>
      </c>
      <c r="P170" s="6">
        <f t="shared" si="15"/>
        <v>6.0452176984897994</v>
      </c>
      <c r="Q170" s="6">
        <f t="shared" si="16"/>
        <v>21.049427806184561</v>
      </c>
      <c r="R170" s="6">
        <f t="shared" si="17"/>
        <v>52.573742047426251</v>
      </c>
      <c r="S170" s="6">
        <f t="shared" si="18"/>
        <v>48.514851485148512</v>
      </c>
      <c r="T170" s="6">
        <f t="shared" si="19"/>
        <v>3058.7923075636304</v>
      </c>
      <c r="U170" s="6">
        <f t="shared" si="20"/>
        <v>31.587923075636304</v>
      </c>
    </row>
    <row r="171" spans="1:21" x14ac:dyDescent="0.3">
      <c r="A171" s="2">
        <v>45430</v>
      </c>
      <c r="B171" t="s">
        <v>13</v>
      </c>
      <c r="C171" t="s">
        <v>18</v>
      </c>
      <c r="D171" t="s">
        <v>23</v>
      </c>
      <c r="E171" t="s">
        <v>29</v>
      </c>
      <c r="F171">
        <v>280625</v>
      </c>
      <c r="G171">
        <v>14687</v>
      </c>
      <c r="H171">
        <v>2934</v>
      </c>
      <c r="I171">
        <v>1372</v>
      </c>
      <c r="J171">
        <v>655</v>
      </c>
      <c r="K171" s="4">
        <v>191298.55</v>
      </c>
      <c r="L171" s="4">
        <v>3980786.43</v>
      </c>
      <c r="M171" t="s">
        <v>31</v>
      </c>
      <c r="N171">
        <f t="shared" si="14"/>
        <v>1</v>
      </c>
      <c r="O171" t="str">
        <f>IF(AND(G171&lt;=F171,H171&lt;=G171,I171&lt;=H171,J171&lt;=I171),"OK","Check")</f>
        <v>OK</v>
      </c>
      <c r="P171" s="6">
        <f t="shared" si="15"/>
        <v>5.2336748329621381</v>
      </c>
      <c r="Q171" s="6">
        <f t="shared" si="16"/>
        <v>19.976850275754067</v>
      </c>
      <c r="R171" s="6">
        <f t="shared" si="17"/>
        <v>46.762099522835719</v>
      </c>
      <c r="S171" s="6">
        <f t="shared" si="18"/>
        <v>47.740524781341108</v>
      </c>
      <c r="T171" s="6">
        <f t="shared" si="19"/>
        <v>1980.9287001914026</v>
      </c>
      <c r="U171" s="6">
        <f t="shared" si="20"/>
        <v>20.809287001914026</v>
      </c>
    </row>
    <row r="172" spans="1:21" x14ac:dyDescent="0.3">
      <c r="A172" s="2">
        <v>45431</v>
      </c>
      <c r="B172" t="s">
        <v>13</v>
      </c>
      <c r="C172" t="s">
        <v>18</v>
      </c>
      <c r="D172" t="s">
        <v>23</v>
      </c>
      <c r="E172" t="s">
        <v>29</v>
      </c>
      <c r="F172">
        <v>99328</v>
      </c>
      <c r="G172">
        <v>5165</v>
      </c>
      <c r="H172">
        <v>1149</v>
      </c>
      <c r="I172">
        <v>717</v>
      </c>
      <c r="J172">
        <v>314</v>
      </c>
      <c r="K172" s="4">
        <v>59406.59</v>
      </c>
      <c r="L172" s="4">
        <v>1218839.81</v>
      </c>
      <c r="M172" t="s">
        <v>31</v>
      </c>
      <c r="N172">
        <f t="shared" si="14"/>
        <v>1</v>
      </c>
      <c r="O172" t="str">
        <f>IF(AND(G172&lt;=F172,H172&lt;=G172,I172&lt;=H172,J172&lt;=I172),"OK","Check")</f>
        <v>OK</v>
      </c>
      <c r="P172" s="6">
        <f t="shared" si="15"/>
        <v>5.1999436211340209</v>
      </c>
      <c r="Q172" s="6">
        <f t="shared" si="16"/>
        <v>22.245885769603095</v>
      </c>
      <c r="R172" s="6">
        <f t="shared" si="17"/>
        <v>62.402088772845957</v>
      </c>
      <c r="S172" s="6">
        <f t="shared" si="18"/>
        <v>43.793584379358435</v>
      </c>
      <c r="T172" s="6">
        <f t="shared" si="19"/>
        <v>1951.6912517617995</v>
      </c>
      <c r="U172" s="6">
        <f t="shared" si="20"/>
        <v>20.516912517617996</v>
      </c>
    </row>
    <row r="173" spans="1:21" x14ac:dyDescent="0.3">
      <c r="A173" s="2">
        <v>45432</v>
      </c>
      <c r="B173" t="s">
        <v>13</v>
      </c>
      <c r="C173" t="s">
        <v>18</v>
      </c>
      <c r="D173" t="s">
        <v>23</v>
      </c>
      <c r="E173" t="s">
        <v>29</v>
      </c>
      <c r="F173">
        <v>144094</v>
      </c>
      <c r="G173">
        <v>11075</v>
      </c>
      <c r="H173">
        <v>2057</v>
      </c>
      <c r="I173">
        <v>1117</v>
      </c>
      <c r="J173">
        <v>577</v>
      </c>
      <c r="K173" s="4">
        <v>118500.5</v>
      </c>
      <c r="L173" s="4">
        <v>3178344.45</v>
      </c>
      <c r="M173" t="s">
        <v>33</v>
      </c>
      <c r="N173">
        <f t="shared" si="14"/>
        <v>1</v>
      </c>
      <c r="O173" t="str">
        <f>IF(AND(G173&lt;=F173,H173&lt;=G173,I173&lt;=H173,J173&lt;=I173),"OK","Check")</f>
        <v>OK</v>
      </c>
      <c r="P173" s="6">
        <f t="shared" si="15"/>
        <v>7.6859550015961799</v>
      </c>
      <c r="Q173" s="6">
        <f t="shared" si="16"/>
        <v>18.57336343115124</v>
      </c>
      <c r="R173" s="6">
        <f t="shared" si="17"/>
        <v>54.302382109868738</v>
      </c>
      <c r="S173" s="6">
        <f t="shared" si="18"/>
        <v>51.656222023276634</v>
      </c>
      <c r="T173" s="6">
        <f t="shared" si="19"/>
        <v>2582.1358981607673</v>
      </c>
      <c r="U173" s="6">
        <f t="shared" si="20"/>
        <v>26.821358981607673</v>
      </c>
    </row>
    <row r="174" spans="1:21" x14ac:dyDescent="0.3">
      <c r="A174" s="2">
        <v>45433</v>
      </c>
      <c r="B174" t="s">
        <v>13</v>
      </c>
      <c r="C174" t="s">
        <v>18</v>
      </c>
      <c r="D174" t="s">
        <v>23</v>
      </c>
      <c r="E174" t="s">
        <v>29</v>
      </c>
      <c r="F174">
        <v>257103</v>
      </c>
      <c r="G174">
        <v>13993</v>
      </c>
      <c r="H174">
        <v>3038</v>
      </c>
      <c r="I174">
        <v>1674</v>
      </c>
      <c r="J174">
        <v>939</v>
      </c>
      <c r="K174" s="4">
        <v>151753.51</v>
      </c>
      <c r="L174" s="4">
        <v>5715057.0800000001</v>
      </c>
      <c r="M174" t="s">
        <v>32</v>
      </c>
      <c r="N174">
        <f t="shared" si="14"/>
        <v>1</v>
      </c>
      <c r="O174" t="str">
        <f>IF(AND(G174&lt;=F174,H174&lt;=G174,I174&lt;=H174,J174&lt;=I174),"OK","Check")</f>
        <v>OK</v>
      </c>
      <c r="P174" s="6">
        <f t="shared" si="15"/>
        <v>5.4425658199243099</v>
      </c>
      <c r="Q174" s="6">
        <f t="shared" si="16"/>
        <v>21.710855427713856</v>
      </c>
      <c r="R174" s="6">
        <f t="shared" si="17"/>
        <v>55.102040816326522</v>
      </c>
      <c r="S174" s="6">
        <f t="shared" si="18"/>
        <v>56.093189964157709</v>
      </c>
      <c r="T174" s="6">
        <f t="shared" si="19"/>
        <v>3666.0131090213335</v>
      </c>
      <c r="U174" s="6">
        <f t="shared" si="20"/>
        <v>37.660131090213333</v>
      </c>
    </row>
    <row r="175" spans="1:21" x14ac:dyDescent="0.3">
      <c r="A175" s="2">
        <v>45434</v>
      </c>
      <c r="B175" t="s">
        <v>13</v>
      </c>
      <c r="C175" t="s">
        <v>18</v>
      </c>
      <c r="D175" t="s">
        <v>23</v>
      </c>
      <c r="E175" t="s">
        <v>29</v>
      </c>
      <c r="F175">
        <v>209828</v>
      </c>
      <c r="G175">
        <v>14119</v>
      </c>
      <c r="H175">
        <v>2701</v>
      </c>
      <c r="I175">
        <v>1585</v>
      </c>
      <c r="J175">
        <v>667</v>
      </c>
      <c r="K175" s="4">
        <v>164161.53</v>
      </c>
      <c r="L175" s="4">
        <v>3749676.3</v>
      </c>
      <c r="M175" t="s">
        <v>33</v>
      </c>
      <c r="N175">
        <f t="shared" si="14"/>
        <v>1</v>
      </c>
      <c r="O175" t="str">
        <f>IF(AND(G175&lt;=F175,H175&lt;=G175,I175&lt;=H175,J175&lt;=I175),"OK","Check")</f>
        <v>OK</v>
      </c>
      <c r="P175" s="6">
        <f t="shared" si="15"/>
        <v>6.7288445774634456</v>
      </c>
      <c r="Q175" s="6">
        <f t="shared" si="16"/>
        <v>19.130250017706636</v>
      </c>
      <c r="R175" s="6">
        <f t="shared" si="17"/>
        <v>58.681969640873753</v>
      </c>
      <c r="S175" s="6">
        <f t="shared" si="18"/>
        <v>42.0820189274448</v>
      </c>
      <c r="T175" s="6">
        <f t="shared" si="19"/>
        <v>2184.1382509044602</v>
      </c>
      <c r="U175" s="6">
        <f t="shared" si="20"/>
        <v>22.841382509044596</v>
      </c>
    </row>
    <row r="176" spans="1:21" x14ac:dyDescent="0.3">
      <c r="A176" s="2">
        <v>45435</v>
      </c>
      <c r="B176" t="s">
        <v>13</v>
      </c>
      <c r="C176" t="s">
        <v>18</v>
      </c>
      <c r="D176" t="s">
        <v>23</v>
      </c>
      <c r="E176" t="s">
        <v>29</v>
      </c>
      <c r="F176">
        <v>218859</v>
      </c>
      <c r="G176">
        <v>11905</v>
      </c>
      <c r="H176">
        <v>1854</v>
      </c>
      <c r="I176">
        <v>941</v>
      </c>
      <c r="J176">
        <v>482</v>
      </c>
      <c r="K176" s="4">
        <v>120754.52</v>
      </c>
      <c r="L176" s="4">
        <v>1563740.44</v>
      </c>
      <c r="M176" t="s">
        <v>35</v>
      </c>
      <c r="N176">
        <f t="shared" si="14"/>
        <v>1</v>
      </c>
      <c r="O176" t="str">
        <f>IF(AND(G176&lt;=F176,H176&lt;=G176,I176&lt;=H176,J176&lt;=I176),"OK","Check")</f>
        <v>OK</v>
      </c>
      <c r="P176" s="6">
        <f t="shared" si="15"/>
        <v>5.4395752516460369</v>
      </c>
      <c r="Q176" s="6">
        <f t="shared" si="16"/>
        <v>15.573288534229315</v>
      </c>
      <c r="R176" s="6">
        <f t="shared" si="17"/>
        <v>50.755124056094928</v>
      </c>
      <c r="S176" s="6">
        <f t="shared" si="18"/>
        <v>51.222104144527101</v>
      </c>
      <c r="T176" s="6">
        <f t="shared" si="19"/>
        <v>1194.9746643024212</v>
      </c>
      <c r="U176" s="6">
        <f t="shared" si="20"/>
        <v>12.949746643024211</v>
      </c>
    </row>
    <row r="177" spans="1:21" x14ac:dyDescent="0.3">
      <c r="A177" s="2">
        <v>45436</v>
      </c>
      <c r="B177" t="s">
        <v>13</v>
      </c>
      <c r="C177" t="s">
        <v>18</v>
      </c>
      <c r="D177" t="s">
        <v>23</v>
      </c>
      <c r="E177" t="s">
        <v>29</v>
      </c>
      <c r="F177">
        <v>210510</v>
      </c>
      <c r="G177">
        <v>12742</v>
      </c>
      <c r="H177">
        <v>2399</v>
      </c>
      <c r="I177">
        <v>1408</v>
      </c>
      <c r="J177">
        <v>810</v>
      </c>
      <c r="K177" s="4">
        <v>182684.18</v>
      </c>
      <c r="L177" s="4">
        <v>6159533.6299999999</v>
      </c>
      <c r="M177" t="s">
        <v>34</v>
      </c>
      <c r="N177">
        <f t="shared" si="14"/>
        <v>1</v>
      </c>
      <c r="O177" t="str">
        <f>IF(AND(G177&lt;=F177,H177&lt;=G177,I177&lt;=H177,J177&lt;=I177),"OK","Check")</f>
        <v>OK</v>
      </c>
      <c r="P177" s="6">
        <f t="shared" si="15"/>
        <v>6.0529191012303452</v>
      </c>
      <c r="Q177" s="6">
        <f t="shared" si="16"/>
        <v>18.827499607596923</v>
      </c>
      <c r="R177" s="6">
        <f t="shared" si="17"/>
        <v>58.691121300541894</v>
      </c>
      <c r="S177" s="6">
        <f t="shared" si="18"/>
        <v>57.528409090909093</v>
      </c>
      <c r="T177" s="6">
        <f t="shared" si="19"/>
        <v>3271.6841983799582</v>
      </c>
      <c r="U177" s="6">
        <f t="shared" si="20"/>
        <v>33.716841983799583</v>
      </c>
    </row>
    <row r="178" spans="1:21" x14ac:dyDescent="0.3">
      <c r="A178" s="2">
        <v>45437</v>
      </c>
      <c r="B178" t="s">
        <v>13</v>
      </c>
      <c r="C178" t="s">
        <v>18</v>
      </c>
      <c r="D178" t="s">
        <v>23</v>
      </c>
      <c r="E178" t="s">
        <v>29</v>
      </c>
      <c r="F178">
        <v>112134</v>
      </c>
      <c r="G178">
        <v>3488</v>
      </c>
      <c r="H178">
        <v>542</v>
      </c>
      <c r="I178">
        <v>286</v>
      </c>
      <c r="J178">
        <v>159</v>
      </c>
      <c r="K178" s="4">
        <v>76411.33</v>
      </c>
      <c r="L178" s="4">
        <v>520844.26</v>
      </c>
      <c r="M178" t="s">
        <v>33</v>
      </c>
      <c r="N178">
        <f t="shared" si="14"/>
        <v>1</v>
      </c>
      <c r="O178" t="str">
        <f>IF(AND(G178&lt;=F178,H178&lt;=G178,I178&lt;=H178,J178&lt;=I178),"OK","Check")</f>
        <v>OK</v>
      </c>
      <c r="P178" s="6">
        <f t="shared" si="15"/>
        <v>3.110564146467619</v>
      </c>
      <c r="Q178" s="6">
        <f t="shared" si="16"/>
        <v>15.538990825688073</v>
      </c>
      <c r="R178" s="6">
        <f t="shared" si="17"/>
        <v>52.767527675276746</v>
      </c>
      <c r="S178" s="6">
        <f t="shared" si="18"/>
        <v>55.594405594405593</v>
      </c>
      <c r="T178" s="6">
        <f t="shared" si="19"/>
        <v>581.63223961682115</v>
      </c>
      <c r="U178" s="6">
        <f t="shared" si="20"/>
        <v>6.8163223961682124</v>
      </c>
    </row>
    <row r="179" spans="1:21" x14ac:dyDescent="0.3">
      <c r="A179" s="2">
        <v>45438</v>
      </c>
      <c r="B179" t="s">
        <v>13</v>
      </c>
      <c r="C179" t="s">
        <v>18</v>
      </c>
      <c r="D179" t="s">
        <v>23</v>
      </c>
      <c r="E179" t="s">
        <v>29</v>
      </c>
      <c r="F179">
        <v>167323</v>
      </c>
      <c r="G179">
        <v>6870</v>
      </c>
      <c r="H179">
        <v>1386</v>
      </c>
      <c r="I179">
        <v>656</v>
      </c>
      <c r="J179">
        <v>339</v>
      </c>
      <c r="K179" s="4">
        <v>154889.76</v>
      </c>
      <c r="L179" s="4">
        <v>2689431.95</v>
      </c>
      <c r="M179" t="s">
        <v>34</v>
      </c>
      <c r="N179">
        <f t="shared" si="14"/>
        <v>1</v>
      </c>
      <c r="O179" t="str">
        <f>IF(AND(G179&lt;=F179,H179&lt;=G179,I179&lt;=H179,J179&lt;=I179),"OK","Check")</f>
        <v>OK</v>
      </c>
      <c r="P179" s="6">
        <f t="shared" si="15"/>
        <v>4.1058312365903067</v>
      </c>
      <c r="Q179" s="6">
        <f t="shared" si="16"/>
        <v>20.174672489082969</v>
      </c>
      <c r="R179" s="6">
        <f t="shared" si="17"/>
        <v>47.330447330447328</v>
      </c>
      <c r="S179" s="6">
        <f t="shared" si="18"/>
        <v>51.676829268292678</v>
      </c>
      <c r="T179" s="6">
        <f t="shared" si="19"/>
        <v>1636.3523256798903</v>
      </c>
      <c r="U179" s="6">
        <f t="shared" si="20"/>
        <v>17.363523256798899</v>
      </c>
    </row>
    <row r="180" spans="1:21" x14ac:dyDescent="0.3">
      <c r="A180" s="2">
        <v>45439</v>
      </c>
      <c r="B180" t="s">
        <v>13</v>
      </c>
      <c r="C180" t="s">
        <v>18</v>
      </c>
      <c r="D180" t="s">
        <v>23</v>
      </c>
      <c r="E180" t="s">
        <v>29</v>
      </c>
      <c r="F180">
        <v>71573</v>
      </c>
      <c r="G180">
        <v>3385</v>
      </c>
      <c r="H180">
        <v>572</v>
      </c>
      <c r="I180">
        <v>368</v>
      </c>
      <c r="J180">
        <v>169</v>
      </c>
      <c r="K180" s="4">
        <v>37172.300000000003</v>
      </c>
      <c r="L180" s="4">
        <v>1300602.6299999999</v>
      </c>
      <c r="M180" t="s">
        <v>32</v>
      </c>
      <c r="N180">
        <f t="shared" si="14"/>
        <v>1</v>
      </c>
      <c r="O180" t="str">
        <f>IF(AND(G180&lt;=F180,H180&lt;=G180,I180&lt;=H180,J180&lt;=I180),"OK","Check")</f>
        <v>OK</v>
      </c>
      <c r="P180" s="6">
        <f t="shared" si="15"/>
        <v>4.7294370782278232</v>
      </c>
      <c r="Q180" s="6">
        <f t="shared" si="16"/>
        <v>16.898079763663219</v>
      </c>
      <c r="R180" s="6">
        <f t="shared" si="17"/>
        <v>64.335664335664333</v>
      </c>
      <c r="S180" s="6">
        <f t="shared" si="18"/>
        <v>45.923913043478258</v>
      </c>
      <c r="T180" s="6">
        <f t="shared" si="19"/>
        <v>3398.8489547324207</v>
      </c>
      <c r="U180" s="6">
        <f t="shared" si="20"/>
        <v>34.988489547324214</v>
      </c>
    </row>
    <row r="181" spans="1:21" x14ac:dyDescent="0.3">
      <c r="A181" s="2">
        <v>45440</v>
      </c>
      <c r="B181" t="s">
        <v>13</v>
      </c>
      <c r="C181" t="s">
        <v>18</v>
      </c>
      <c r="D181" t="s">
        <v>23</v>
      </c>
      <c r="E181" t="s">
        <v>29</v>
      </c>
      <c r="F181">
        <v>157823</v>
      </c>
      <c r="G181">
        <v>9513</v>
      </c>
      <c r="H181">
        <v>2121</v>
      </c>
      <c r="I181">
        <v>1051</v>
      </c>
      <c r="J181">
        <v>506</v>
      </c>
      <c r="K181" s="4">
        <v>109850.41</v>
      </c>
      <c r="L181" s="4">
        <v>3668863.75</v>
      </c>
      <c r="M181" t="s">
        <v>32</v>
      </c>
      <c r="N181">
        <f t="shared" si="14"/>
        <v>1</v>
      </c>
      <c r="O181" t="str">
        <f>IF(AND(G181&lt;=F181,H181&lt;=G181,I181&lt;=H181,J181&lt;=I181),"OK","Check")</f>
        <v>OK</v>
      </c>
      <c r="P181" s="6">
        <f t="shared" si="15"/>
        <v>6.0276385571177835</v>
      </c>
      <c r="Q181" s="6">
        <f t="shared" si="16"/>
        <v>22.29580573951435</v>
      </c>
      <c r="R181" s="6">
        <f t="shared" si="17"/>
        <v>49.552098066949554</v>
      </c>
      <c r="S181" s="6">
        <f t="shared" si="18"/>
        <v>48.144624167459561</v>
      </c>
      <c r="T181" s="6">
        <f t="shared" si="19"/>
        <v>3239.8726049361121</v>
      </c>
      <c r="U181" s="6">
        <f t="shared" si="20"/>
        <v>33.398726049361123</v>
      </c>
    </row>
    <row r="182" spans="1:21" x14ac:dyDescent="0.3">
      <c r="A182" s="2">
        <v>45441</v>
      </c>
      <c r="B182" t="s">
        <v>13</v>
      </c>
      <c r="C182" t="s">
        <v>18</v>
      </c>
      <c r="D182" t="s">
        <v>23</v>
      </c>
      <c r="E182" t="s">
        <v>29</v>
      </c>
      <c r="F182">
        <v>170857</v>
      </c>
      <c r="G182">
        <v>13220</v>
      </c>
      <c r="H182">
        <v>2821</v>
      </c>
      <c r="I182">
        <v>1398</v>
      </c>
      <c r="J182">
        <v>619</v>
      </c>
      <c r="K182" s="4">
        <v>96132.33</v>
      </c>
      <c r="L182" s="4">
        <v>4551261.95</v>
      </c>
      <c r="M182" t="s">
        <v>33</v>
      </c>
      <c r="N182">
        <f t="shared" si="14"/>
        <v>1</v>
      </c>
      <c r="O182" t="str">
        <f>IF(AND(G182&lt;=F182,H182&lt;=G182,I182&lt;=H182,J182&lt;=I182),"OK","Check")</f>
        <v>OK</v>
      </c>
      <c r="P182" s="6">
        <f t="shared" si="15"/>
        <v>7.7374646634319939</v>
      </c>
      <c r="Q182" s="6">
        <f t="shared" si="16"/>
        <v>21.338880484114977</v>
      </c>
      <c r="R182" s="6">
        <f t="shared" si="17"/>
        <v>49.556894718185042</v>
      </c>
      <c r="S182" s="6">
        <f t="shared" si="18"/>
        <v>44.27753934191702</v>
      </c>
      <c r="T182" s="6">
        <f t="shared" si="19"/>
        <v>4634.3718289154122</v>
      </c>
      <c r="U182" s="6">
        <f t="shared" si="20"/>
        <v>47.343718289154126</v>
      </c>
    </row>
    <row r="183" spans="1:21" x14ac:dyDescent="0.3">
      <c r="A183" s="2">
        <v>45442</v>
      </c>
      <c r="B183" t="s">
        <v>13</v>
      </c>
      <c r="C183" t="s">
        <v>18</v>
      </c>
      <c r="D183" t="s">
        <v>23</v>
      </c>
      <c r="E183" t="s">
        <v>29</v>
      </c>
      <c r="F183">
        <v>286098</v>
      </c>
      <c r="G183">
        <v>8605</v>
      </c>
      <c r="H183">
        <v>1496</v>
      </c>
      <c r="I183">
        <v>757</v>
      </c>
      <c r="J183">
        <v>307</v>
      </c>
      <c r="K183" s="4">
        <v>284695.90999999997</v>
      </c>
      <c r="L183" s="4">
        <v>2297719.94</v>
      </c>
      <c r="M183" t="s">
        <v>33</v>
      </c>
      <c r="N183">
        <f t="shared" si="14"/>
        <v>1</v>
      </c>
      <c r="O183" t="str">
        <f>IF(AND(G183&lt;=F183,H183&lt;=G183,I183&lt;=H183,J183&lt;=I183),"OK","Check")</f>
        <v>OK</v>
      </c>
      <c r="P183" s="6">
        <f t="shared" si="15"/>
        <v>3.0077106446042965</v>
      </c>
      <c r="Q183" s="6">
        <f t="shared" si="16"/>
        <v>17.385241138872747</v>
      </c>
      <c r="R183" s="6">
        <f t="shared" si="17"/>
        <v>50.601604278074866</v>
      </c>
      <c r="S183" s="6">
        <f t="shared" si="18"/>
        <v>40.554821664464995</v>
      </c>
      <c r="T183" s="6">
        <f t="shared" si="19"/>
        <v>707.07866157964827</v>
      </c>
      <c r="U183" s="6">
        <f t="shared" si="20"/>
        <v>8.070786615796484</v>
      </c>
    </row>
    <row r="184" spans="1:21" x14ac:dyDescent="0.3">
      <c r="A184" s="2">
        <v>45443</v>
      </c>
      <c r="B184" t="s">
        <v>13</v>
      </c>
      <c r="C184" t="s">
        <v>18</v>
      </c>
      <c r="D184" t="s">
        <v>23</v>
      </c>
      <c r="E184" t="s">
        <v>29</v>
      </c>
      <c r="F184">
        <v>179655</v>
      </c>
      <c r="G184">
        <v>7512</v>
      </c>
      <c r="H184">
        <v>1329</v>
      </c>
      <c r="I184">
        <v>827</v>
      </c>
      <c r="J184">
        <v>420</v>
      </c>
      <c r="K184" s="4">
        <v>177940.53</v>
      </c>
      <c r="L184" s="4">
        <v>2774452.44</v>
      </c>
      <c r="M184" t="s">
        <v>32</v>
      </c>
      <c r="N184">
        <f t="shared" si="14"/>
        <v>1</v>
      </c>
      <c r="O184" t="str">
        <f>IF(AND(G184&lt;=F184,H184&lt;=G184,I184&lt;=H184,J184&lt;=I184),"OK","Check")</f>
        <v>OK</v>
      </c>
      <c r="P184" s="6">
        <f t="shared" si="15"/>
        <v>4.1813475828671622</v>
      </c>
      <c r="Q184" s="6">
        <f t="shared" si="16"/>
        <v>17.691693290734825</v>
      </c>
      <c r="R184" s="6">
        <f t="shared" si="17"/>
        <v>62.227238525206921</v>
      </c>
      <c r="S184" s="6">
        <f t="shared" si="18"/>
        <v>50.785973397823462</v>
      </c>
      <c r="T184" s="6">
        <f t="shared" si="19"/>
        <v>1459.2020772333319</v>
      </c>
      <c r="U184" s="6">
        <f t="shared" si="20"/>
        <v>15.592020772333319</v>
      </c>
    </row>
    <row r="185" spans="1:21" x14ac:dyDescent="0.3">
      <c r="A185" s="2">
        <v>45444</v>
      </c>
      <c r="B185" t="s">
        <v>13</v>
      </c>
      <c r="C185" t="s">
        <v>18</v>
      </c>
      <c r="D185" t="s">
        <v>23</v>
      </c>
      <c r="E185" t="s">
        <v>29</v>
      </c>
      <c r="F185">
        <v>200920</v>
      </c>
      <c r="G185">
        <v>10462</v>
      </c>
      <c r="H185">
        <v>2244</v>
      </c>
      <c r="I185">
        <v>1338</v>
      </c>
      <c r="J185">
        <v>750</v>
      </c>
      <c r="K185" s="4">
        <v>142412.10999999999</v>
      </c>
      <c r="L185" s="4">
        <v>4242470.3600000003</v>
      </c>
      <c r="M185" t="s">
        <v>34</v>
      </c>
      <c r="N185">
        <f t="shared" si="14"/>
        <v>1</v>
      </c>
      <c r="O185" t="str">
        <f>IF(AND(G185&lt;=F185,H185&lt;=G185,I185&lt;=H185,J185&lt;=I185),"OK","Check")</f>
        <v>OK</v>
      </c>
      <c r="P185" s="6">
        <f t="shared" si="15"/>
        <v>5.2070475811268171</v>
      </c>
      <c r="Q185" s="6">
        <f t="shared" si="16"/>
        <v>21.449053718218313</v>
      </c>
      <c r="R185" s="6">
        <f t="shared" si="17"/>
        <v>59.625668449197867</v>
      </c>
      <c r="S185" s="6">
        <f t="shared" si="18"/>
        <v>56.053811659192817</v>
      </c>
      <c r="T185" s="6">
        <f t="shared" si="19"/>
        <v>2879.0095519264482</v>
      </c>
      <c r="U185" s="6">
        <f t="shared" si="20"/>
        <v>29.790095519264483</v>
      </c>
    </row>
    <row r="186" spans="1:21" x14ac:dyDescent="0.3">
      <c r="A186" s="2">
        <v>45445</v>
      </c>
      <c r="B186" t="s">
        <v>13</v>
      </c>
      <c r="C186" t="s">
        <v>18</v>
      </c>
      <c r="D186" t="s">
        <v>23</v>
      </c>
      <c r="E186" t="s">
        <v>29</v>
      </c>
      <c r="F186">
        <v>277733</v>
      </c>
      <c r="G186">
        <v>19722</v>
      </c>
      <c r="H186">
        <v>3356</v>
      </c>
      <c r="I186">
        <v>1999</v>
      </c>
      <c r="J186">
        <v>1087</v>
      </c>
      <c r="K186" s="4">
        <v>267369.15000000002</v>
      </c>
      <c r="L186" s="4">
        <v>6633449.5</v>
      </c>
      <c r="M186" t="s">
        <v>35</v>
      </c>
      <c r="N186">
        <f t="shared" si="14"/>
        <v>1</v>
      </c>
      <c r="O186" t="str">
        <f>IF(AND(G186&lt;=F186,H186&lt;=G186,I186&lt;=H186,J186&lt;=I186),"OK","Check")</f>
        <v>OK</v>
      </c>
      <c r="P186" s="6">
        <f t="shared" si="15"/>
        <v>7.1010646916282907</v>
      </c>
      <c r="Q186" s="6">
        <f t="shared" si="16"/>
        <v>17.016529763715649</v>
      </c>
      <c r="R186" s="6">
        <f t="shared" si="17"/>
        <v>59.564958283671032</v>
      </c>
      <c r="S186" s="6">
        <f t="shared" si="18"/>
        <v>54.377188594297145</v>
      </c>
      <c r="T186" s="6">
        <f t="shared" si="19"/>
        <v>2381.0078126066524</v>
      </c>
      <c r="U186" s="6">
        <f t="shared" si="20"/>
        <v>24.810078126066525</v>
      </c>
    </row>
    <row r="187" spans="1:21" x14ac:dyDescent="0.3">
      <c r="A187" s="2">
        <v>45446</v>
      </c>
      <c r="B187" t="s">
        <v>13</v>
      </c>
      <c r="C187" t="s">
        <v>18</v>
      </c>
      <c r="D187" t="s">
        <v>23</v>
      </c>
      <c r="E187" t="s">
        <v>29</v>
      </c>
      <c r="F187">
        <v>163525</v>
      </c>
      <c r="G187">
        <v>6314</v>
      </c>
      <c r="H187">
        <v>1573</v>
      </c>
      <c r="I187">
        <v>794</v>
      </c>
      <c r="J187">
        <v>445</v>
      </c>
      <c r="K187" s="4">
        <v>161244.1</v>
      </c>
      <c r="L187" s="4">
        <v>2892185.32</v>
      </c>
      <c r="M187" t="s">
        <v>35</v>
      </c>
      <c r="N187">
        <f t="shared" si="14"/>
        <v>1</v>
      </c>
      <c r="O187" t="str">
        <f>IF(AND(G187&lt;=F187,H187&lt;=G187,I187&lt;=H187,J187&lt;=I187),"OK","Check")</f>
        <v>OK</v>
      </c>
      <c r="P187" s="6">
        <f t="shared" si="15"/>
        <v>3.8611833053049995</v>
      </c>
      <c r="Q187" s="6">
        <f t="shared" si="16"/>
        <v>24.912891986062718</v>
      </c>
      <c r="R187" s="6">
        <f t="shared" si="17"/>
        <v>50.476795931341393</v>
      </c>
      <c r="S187" s="6">
        <f t="shared" si="18"/>
        <v>56.045340050377831</v>
      </c>
      <c r="T187" s="6">
        <f t="shared" si="19"/>
        <v>1693.668928041398</v>
      </c>
      <c r="U187" s="6">
        <f t="shared" si="20"/>
        <v>17.936689280413979</v>
      </c>
    </row>
    <row r="188" spans="1:21" x14ac:dyDescent="0.3">
      <c r="A188" s="2">
        <v>45447</v>
      </c>
      <c r="B188" t="s">
        <v>13</v>
      </c>
      <c r="C188" t="s">
        <v>18</v>
      </c>
      <c r="D188" t="s">
        <v>23</v>
      </c>
      <c r="E188" t="s">
        <v>29</v>
      </c>
      <c r="F188">
        <v>57200</v>
      </c>
      <c r="G188">
        <v>2876</v>
      </c>
      <c r="H188">
        <v>542</v>
      </c>
      <c r="I188">
        <v>295</v>
      </c>
      <c r="J188">
        <v>144</v>
      </c>
      <c r="K188" s="4">
        <v>40656.160000000003</v>
      </c>
      <c r="L188" s="4">
        <v>1131479.57</v>
      </c>
      <c r="M188" t="s">
        <v>33</v>
      </c>
      <c r="N188">
        <f t="shared" si="14"/>
        <v>1</v>
      </c>
      <c r="O188" t="str">
        <f>IF(AND(G188&lt;=F188,H188&lt;=G188,I188&lt;=H188,J188&lt;=I188),"OK","Check")</f>
        <v>OK</v>
      </c>
      <c r="P188" s="6">
        <f t="shared" si="15"/>
        <v>5.0279720279720284</v>
      </c>
      <c r="Q188" s="6">
        <f t="shared" si="16"/>
        <v>18.845618915159946</v>
      </c>
      <c r="R188" s="6">
        <f t="shared" si="17"/>
        <v>54.428044280442798</v>
      </c>
      <c r="S188" s="6">
        <f t="shared" si="18"/>
        <v>48.813559322033903</v>
      </c>
      <c r="T188" s="6">
        <f t="shared" si="19"/>
        <v>2683.0458410238448</v>
      </c>
      <c r="U188" s="6">
        <f t="shared" si="20"/>
        <v>27.830458410238446</v>
      </c>
    </row>
    <row r="189" spans="1:21" x14ac:dyDescent="0.3">
      <c r="A189" s="2">
        <v>45448</v>
      </c>
      <c r="B189" t="s">
        <v>13</v>
      </c>
      <c r="C189" t="s">
        <v>18</v>
      </c>
      <c r="D189" t="s">
        <v>23</v>
      </c>
      <c r="E189" t="s">
        <v>29</v>
      </c>
      <c r="F189">
        <v>138496</v>
      </c>
      <c r="G189">
        <v>6165</v>
      </c>
      <c r="H189">
        <v>1152</v>
      </c>
      <c r="I189">
        <v>534</v>
      </c>
      <c r="J189">
        <v>238</v>
      </c>
      <c r="K189" s="4">
        <v>78355.929999999993</v>
      </c>
      <c r="L189" s="4">
        <v>1666242.27</v>
      </c>
      <c r="M189" t="s">
        <v>34</v>
      </c>
      <c r="N189">
        <f t="shared" si="14"/>
        <v>1</v>
      </c>
      <c r="O189" t="str">
        <f>IF(AND(G189&lt;=F189,H189&lt;=G189,I189&lt;=H189,J189&lt;=I189),"OK","Check")</f>
        <v>OK</v>
      </c>
      <c r="P189" s="6">
        <f t="shared" si="15"/>
        <v>4.4513920979667283</v>
      </c>
      <c r="Q189" s="6">
        <f t="shared" si="16"/>
        <v>18.686131386861312</v>
      </c>
      <c r="R189" s="6">
        <f t="shared" si="17"/>
        <v>46.354166666666671</v>
      </c>
      <c r="S189" s="6">
        <f t="shared" si="18"/>
        <v>44.569288389513105</v>
      </c>
      <c r="T189" s="6">
        <f t="shared" si="19"/>
        <v>2026.5043628478409</v>
      </c>
      <c r="U189" s="6">
        <f t="shared" si="20"/>
        <v>21.265043628478409</v>
      </c>
    </row>
    <row r="190" spans="1:21" x14ac:dyDescent="0.3">
      <c r="A190" s="2">
        <v>45449</v>
      </c>
      <c r="B190" t="s">
        <v>13</v>
      </c>
      <c r="C190" t="s">
        <v>18</v>
      </c>
      <c r="D190" t="s">
        <v>23</v>
      </c>
      <c r="E190" t="s">
        <v>29</v>
      </c>
      <c r="F190">
        <v>173098</v>
      </c>
      <c r="G190">
        <v>12987</v>
      </c>
      <c r="H190">
        <v>2605</v>
      </c>
      <c r="I190">
        <v>1205</v>
      </c>
      <c r="J190">
        <v>678</v>
      </c>
      <c r="K190" s="4">
        <v>171934.55</v>
      </c>
      <c r="L190" s="4">
        <v>4701884.7</v>
      </c>
      <c r="M190" t="s">
        <v>35</v>
      </c>
      <c r="N190">
        <f t="shared" si="14"/>
        <v>1</v>
      </c>
      <c r="O190" t="str">
        <f>IF(AND(G190&lt;=F190,H190&lt;=G190,I190&lt;=H190,J190&lt;=I190),"OK","Check")</f>
        <v>OK</v>
      </c>
      <c r="P190" s="6">
        <f t="shared" si="15"/>
        <v>7.5026863395302081</v>
      </c>
      <c r="Q190" s="6">
        <f t="shared" si="16"/>
        <v>20.058520058520056</v>
      </c>
      <c r="R190" s="6">
        <f t="shared" si="17"/>
        <v>46.257197696737045</v>
      </c>
      <c r="S190" s="6">
        <f t="shared" si="18"/>
        <v>56.265560165975103</v>
      </c>
      <c r="T190" s="6">
        <f t="shared" si="19"/>
        <v>2634.6945102075183</v>
      </c>
      <c r="U190" s="6">
        <f t="shared" si="20"/>
        <v>27.346945102075182</v>
      </c>
    </row>
    <row r="191" spans="1:21" x14ac:dyDescent="0.3">
      <c r="A191" s="2">
        <v>45450</v>
      </c>
      <c r="B191" t="s">
        <v>13</v>
      </c>
      <c r="C191" t="s">
        <v>18</v>
      </c>
      <c r="D191" t="s">
        <v>23</v>
      </c>
      <c r="E191" t="s">
        <v>29</v>
      </c>
      <c r="F191">
        <v>132867</v>
      </c>
      <c r="G191">
        <v>6166</v>
      </c>
      <c r="H191">
        <v>1353</v>
      </c>
      <c r="I191">
        <v>871</v>
      </c>
      <c r="J191">
        <v>423</v>
      </c>
      <c r="K191" s="4">
        <v>110775.88</v>
      </c>
      <c r="L191" s="4">
        <v>1886619.18</v>
      </c>
      <c r="M191" t="s">
        <v>33</v>
      </c>
      <c r="N191">
        <f t="shared" si="14"/>
        <v>1</v>
      </c>
      <c r="O191" t="str">
        <f>IF(AND(G191&lt;=F191,H191&lt;=G191,I191&lt;=H191,J191&lt;=I191),"OK","Check")</f>
        <v>OK</v>
      </c>
      <c r="P191" s="6">
        <f t="shared" si="15"/>
        <v>4.6407309565204304</v>
      </c>
      <c r="Q191" s="6">
        <f t="shared" si="16"/>
        <v>21.942912747324034</v>
      </c>
      <c r="R191" s="6">
        <f t="shared" si="17"/>
        <v>64.375461936437546</v>
      </c>
      <c r="S191" s="6">
        <f t="shared" si="18"/>
        <v>48.56486796785304</v>
      </c>
      <c r="T191" s="6">
        <f t="shared" si="19"/>
        <v>1603.0956377868538</v>
      </c>
      <c r="U191" s="6">
        <f t="shared" si="20"/>
        <v>17.030956377868538</v>
      </c>
    </row>
    <row r="192" spans="1:21" x14ac:dyDescent="0.3">
      <c r="A192" s="2">
        <v>45451</v>
      </c>
      <c r="B192" t="s">
        <v>13</v>
      </c>
      <c r="C192" t="s">
        <v>18</v>
      </c>
      <c r="D192" t="s">
        <v>23</v>
      </c>
      <c r="E192" t="s">
        <v>29</v>
      </c>
      <c r="F192">
        <v>78405</v>
      </c>
      <c r="G192">
        <v>5902</v>
      </c>
      <c r="H192">
        <v>1106</v>
      </c>
      <c r="I192">
        <v>584</v>
      </c>
      <c r="J192">
        <v>309</v>
      </c>
      <c r="K192" s="4">
        <v>59265.23</v>
      </c>
      <c r="L192" s="4">
        <v>1624992.95</v>
      </c>
      <c r="M192" t="s">
        <v>31</v>
      </c>
      <c r="N192">
        <f t="shared" si="14"/>
        <v>1</v>
      </c>
      <c r="O192" t="str">
        <f>IF(AND(G192&lt;=F192,H192&lt;=G192,I192&lt;=H192,J192&lt;=I192),"OK","Check")</f>
        <v>OK</v>
      </c>
      <c r="P192" s="6">
        <f t="shared" si="15"/>
        <v>7.5275811491614055</v>
      </c>
      <c r="Q192" s="6">
        <f t="shared" si="16"/>
        <v>18.739410369366315</v>
      </c>
      <c r="R192" s="6">
        <f t="shared" si="17"/>
        <v>52.802893309222419</v>
      </c>
      <c r="S192" s="6">
        <f t="shared" si="18"/>
        <v>52.910958904109584</v>
      </c>
      <c r="T192" s="6">
        <f t="shared" si="19"/>
        <v>2641.8993396296614</v>
      </c>
      <c r="U192" s="6">
        <f t="shared" si="20"/>
        <v>27.418993396296614</v>
      </c>
    </row>
    <row r="193" spans="1:21" x14ac:dyDescent="0.3">
      <c r="A193" s="2">
        <v>45452</v>
      </c>
      <c r="B193" t="s">
        <v>13</v>
      </c>
      <c r="C193" t="s">
        <v>18</v>
      </c>
      <c r="D193" t="s">
        <v>23</v>
      </c>
      <c r="E193" t="s">
        <v>29</v>
      </c>
      <c r="F193">
        <v>123612</v>
      </c>
      <c r="G193">
        <v>8089</v>
      </c>
      <c r="H193">
        <v>1527</v>
      </c>
      <c r="I193">
        <v>775</v>
      </c>
      <c r="J193">
        <v>424</v>
      </c>
      <c r="K193" s="4">
        <v>113946.27</v>
      </c>
      <c r="L193" s="4">
        <v>3146851.09</v>
      </c>
      <c r="M193" t="s">
        <v>31</v>
      </c>
      <c r="N193">
        <f t="shared" si="14"/>
        <v>1</v>
      </c>
      <c r="O193" t="str">
        <f>IF(AND(G193&lt;=F193,H193&lt;=G193,I193&lt;=H193,J193&lt;=I193),"OK","Check")</f>
        <v>OK</v>
      </c>
      <c r="P193" s="6">
        <f t="shared" si="15"/>
        <v>6.5438630553667929</v>
      </c>
      <c r="Q193" s="6">
        <f t="shared" si="16"/>
        <v>18.87748794659414</v>
      </c>
      <c r="R193" s="6">
        <f t="shared" si="17"/>
        <v>50.753110674525217</v>
      </c>
      <c r="S193" s="6">
        <f t="shared" si="18"/>
        <v>54.70967741935484</v>
      </c>
      <c r="T193" s="6">
        <f t="shared" si="19"/>
        <v>2661.6973245372578</v>
      </c>
      <c r="U193" s="6">
        <f t="shared" si="20"/>
        <v>27.616973245372577</v>
      </c>
    </row>
    <row r="194" spans="1:21" x14ac:dyDescent="0.3">
      <c r="A194" s="2">
        <v>45453</v>
      </c>
      <c r="B194" t="s">
        <v>13</v>
      </c>
      <c r="C194" t="s">
        <v>18</v>
      </c>
      <c r="D194" t="s">
        <v>23</v>
      </c>
      <c r="E194" t="s">
        <v>29</v>
      </c>
      <c r="F194">
        <v>195933</v>
      </c>
      <c r="G194">
        <v>8997</v>
      </c>
      <c r="H194">
        <v>1665</v>
      </c>
      <c r="I194">
        <v>915</v>
      </c>
      <c r="J194">
        <v>447</v>
      </c>
      <c r="K194" s="4">
        <v>189378.11</v>
      </c>
      <c r="L194" s="4">
        <v>2736847.83</v>
      </c>
      <c r="M194" t="s">
        <v>33</v>
      </c>
      <c r="N194">
        <f t="shared" si="14"/>
        <v>1</v>
      </c>
      <c r="O194" t="str">
        <f>IF(AND(G194&lt;=F194,H194&lt;=G194,I194&lt;=H194,J194&lt;=I194),"OK","Check")</f>
        <v>OK</v>
      </c>
      <c r="P194" s="6">
        <f t="shared" si="15"/>
        <v>4.5918757942766151</v>
      </c>
      <c r="Q194" s="6">
        <f t="shared" si="16"/>
        <v>18.506168722907638</v>
      </c>
      <c r="R194" s="6">
        <f t="shared" si="17"/>
        <v>54.954954954954957</v>
      </c>
      <c r="S194" s="6">
        <f t="shared" si="18"/>
        <v>48.852459016393439</v>
      </c>
      <c r="T194" s="6">
        <f t="shared" si="19"/>
        <v>1345.1764409307921</v>
      </c>
      <c r="U194" s="6">
        <f t="shared" si="20"/>
        <v>14.45176440930792</v>
      </c>
    </row>
    <row r="195" spans="1:21" x14ac:dyDescent="0.3">
      <c r="A195" s="2">
        <v>45454</v>
      </c>
      <c r="B195" t="s">
        <v>13</v>
      </c>
      <c r="C195" t="s">
        <v>18</v>
      </c>
      <c r="D195" t="s">
        <v>23</v>
      </c>
      <c r="E195" t="s">
        <v>29</v>
      </c>
      <c r="F195">
        <v>107645</v>
      </c>
      <c r="G195">
        <v>6490</v>
      </c>
      <c r="H195">
        <v>1396</v>
      </c>
      <c r="I195">
        <v>669</v>
      </c>
      <c r="J195">
        <v>394</v>
      </c>
      <c r="K195" s="4">
        <v>64452.160000000003</v>
      </c>
      <c r="L195" s="4">
        <v>2150210.5099999998</v>
      </c>
      <c r="M195" t="s">
        <v>32</v>
      </c>
      <c r="N195">
        <f t="shared" ref="N195:N258" si="21">COUNTIFS(A:A,A195,B:B,B195,C:C,C195,D:D,D195,E:E,E195,F:F,F195,G:G,G195,H:H,H195,I:I,I195,J:J,J195,K:K,K195,L:L,L195,M:M,M195)</f>
        <v>1</v>
      </c>
      <c r="O195" t="str">
        <f>IF(AND(G195&lt;=F195,H195&lt;=G195,I195&lt;=H195,J195&lt;=I195),"OK","Check")</f>
        <v>OK</v>
      </c>
      <c r="P195" s="6">
        <f t="shared" ref="P195:P258" si="22">IFERROR(G195/F195*100,0)</f>
        <v>6.0290770588508522</v>
      </c>
      <c r="Q195" s="6">
        <f t="shared" ref="Q195:Q258" si="23">IFERROR(H195/G195*100,0)</f>
        <v>21.510015408320491</v>
      </c>
      <c r="R195" s="6">
        <f t="shared" ref="R195:R258" si="24">IFERROR(I195/H195*100,0)</f>
        <v>47.922636103151859</v>
      </c>
      <c r="S195" s="6">
        <f t="shared" ref="S195:S258" si="25">IFERROR(J195/I195*100,0)</f>
        <v>58.893871449925264</v>
      </c>
      <c r="T195" s="6">
        <f t="shared" ref="T195:T258" si="26">IFERROR((L195-K195)/K195*100,0)</f>
        <v>3236.1341342167584</v>
      </c>
      <c r="U195" s="6">
        <f t="shared" ref="U195:U258" si="27">IFERROR(L195/K195,0)</f>
        <v>33.361341342167577</v>
      </c>
    </row>
    <row r="196" spans="1:21" x14ac:dyDescent="0.3">
      <c r="A196" s="2">
        <v>45455</v>
      </c>
      <c r="B196" t="s">
        <v>13</v>
      </c>
      <c r="C196" t="s">
        <v>18</v>
      </c>
      <c r="D196" t="s">
        <v>23</v>
      </c>
      <c r="E196" t="s">
        <v>29</v>
      </c>
      <c r="F196">
        <v>126990</v>
      </c>
      <c r="G196">
        <v>3967</v>
      </c>
      <c r="H196">
        <v>640</v>
      </c>
      <c r="I196">
        <v>342</v>
      </c>
      <c r="J196">
        <v>195</v>
      </c>
      <c r="K196" s="4">
        <v>78557.41</v>
      </c>
      <c r="L196" s="4">
        <v>817559.85</v>
      </c>
      <c r="M196" t="s">
        <v>32</v>
      </c>
      <c r="N196">
        <f t="shared" si="21"/>
        <v>1</v>
      </c>
      <c r="O196" t="str">
        <f>IF(AND(G196&lt;=F196,H196&lt;=G196,I196&lt;=H196,J196&lt;=I196),"OK","Check")</f>
        <v>OK</v>
      </c>
      <c r="P196" s="6">
        <f t="shared" si="22"/>
        <v>3.1238680211040237</v>
      </c>
      <c r="Q196" s="6">
        <f t="shared" si="23"/>
        <v>16.13309805898664</v>
      </c>
      <c r="R196" s="6">
        <f t="shared" si="24"/>
        <v>53.437500000000007</v>
      </c>
      <c r="S196" s="6">
        <f t="shared" si="25"/>
        <v>57.017543859649123</v>
      </c>
      <c r="T196" s="6">
        <f t="shared" si="26"/>
        <v>940.7164009098567</v>
      </c>
      <c r="U196" s="6">
        <f t="shared" si="27"/>
        <v>10.407164009098569</v>
      </c>
    </row>
    <row r="197" spans="1:21" x14ac:dyDescent="0.3">
      <c r="A197" s="2">
        <v>45456</v>
      </c>
      <c r="B197" t="s">
        <v>13</v>
      </c>
      <c r="C197" t="s">
        <v>18</v>
      </c>
      <c r="D197" t="s">
        <v>23</v>
      </c>
      <c r="E197" t="s">
        <v>29</v>
      </c>
      <c r="F197">
        <v>173173</v>
      </c>
      <c r="G197">
        <v>6384</v>
      </c>
      <c r="H197">
        <v>1547</v>
      </c>
      <c r="I197">
        <v>788</v>
      </c>
      <c r="J197">
        <v>399</v>
      </c>
      <c r="K197" s="4">
        <v>127532.25</v>
      </c>
      <c r="L197" s="4">
        <v>2683477.69</v>
      </c>
      <c r="M197" t="s">
        <v>35</v>
      </c>
      <c r="N197">
        <f t="shared" si="21"/>
        <v>1</v>
      </c>
      <c r="O197" t="str">
        <f>IF(AND(G197&lt;=F197,H197&lt;=G197,I197&lt;=H197,J197&lt;=I197),"OK","Check")</f>
        <v>OK</v>
      </c>
      <c r="P197" s="6">
        <f t="shared" si="22"/>
        <v>3.686486923481143</v>
      </c>
      <c r="Q197" s="6">
        <f t="shared" si="23"/>
        <v>24.232456140350877</v>
      </c>
      <c r="R197" s="6">
        <f t="shared" si="24"/>
        <v>50.937297996121522</v>
      </c>
      <c r="S197" s="6">
        <f t="shared" si="25"/>
        <v>50.634517766497467</v>
      </c>
      <c r="T197" s="6">
        <f t="shared" si="26"/>
        <v>2004.1561565800023</v>
      </c>
      <c r="U197" s="6">
        <f t="shared" si="27"/>
        <v>21.041561565800023</v>
      </c>
    </row>
    <row r="198" spans="1:21" x14ac:dyDescent="0.3">
      <c r="A198" s="2">
        <v>45457</v>
      </c>
      <c r="B198" t="s">
        <v>13</v>
      </c>
      <c r="C198" t="s">
        <v>18</v>
      </c>
      <c r="D198" t="s">
        <v>23</v>
      </c>
      <c r="E198" t="s">
        <v>29</v>
      </c>
      <c r="F198">
        <v>267033</v>
      </c>
      <c r="G198">
        <v>20262</v>
      </c>
      <c r="H198">
        <v>3713</v>
      </c>
      <c r="I198">
        <v>2404</v>
      </c>
      <c r="J198">
        <v>1299</v>
      </c>
      <c r="K198" s="4">
        <v>216742.23</v>
      </c>
      <c r="L198" s="4">
        <v>7943328.0199999996</v>
      </c>
      <c r="M198" t="s">
        <v>31</v>
      </c>
      <c r="N198">
        <f t="shared" si="21"/>
        <v>1</v>
      </c>
      <c r="O198" t="str">
        <f>IF(AND(G198&lt;=F198,H198&lt;=G198,I198&lt;=H198,J198&lt;=I198),"OK","Check")</f>
        <v>OK</v>
      </c>
      <c r="P198" s="6">
        <f t="shared" si="22"/>
        <v>7.5878262237251581</v>
      </c>
      <c r="Q198" s="6">
        <f t="shared" si="23"/>
        <v>18.32494324351002</v>
      </c>
      <c r="R198" s="6">
        <f t="shared" si="24"/>
        <v>64.745488823054131</v>
      </c>
      <c r="S198" s="6">
        <f t="shared" si="25"/>
        <v>54.034941763727119</v>
      </c>
      <c r="T198" s="6">
        <f t="shared" si="26"/>
        <v>3564.8732552027345</v>
      </c>
      <c r="U198" s="6">
        <f t="shared" si="27"/>
        <v>36.648732552027354</v>
      </c>
    </row>
    <row r="199" spans="1:21" x14ac:dyDescent="0.3">
      <c r="A199" s="2">
        <v>45458</v>
      </c>
      <c r="B199" t="s">
        <v>13</v>
      </c>
      <c r="C199" t="s">
        <v>18</v>
      </c>
      <c r="D199" t="s">
        <v>23</v>
      </c>
      <c r="E199" t="s">
        <v>29</v>
      </c>
      <c r="F199">
        <v>132726</v>
      </c>
      <c r="G199">
        <v>7918</v>
      </c>
      <c r="H199">
        <v>1387</v>
      </c>
      <c r="I199">
        <v>700</v>
      </c>
      <c r="J199">
        <v>353</v>
      </c>
      <c r="K199" s="4">
        <v>57062.19</v>
      </c>
      <c r="L199" s="4">
        <v>1916053.2</v>
      </c>
      <c r="M199" t="s">
        <v>35</v>
      </c>
      <c r="N199">
        <f t="shared" si="21"/>
        <v>1</v>
      </c>
      <c r="O199" t="str">
        <f>IF(AND(G199&lt;=F199,H199&lt;=G199,I199&lt;=H199,J199&lt;=I199),"OK","Check")</f>
        <v>OK</v>
      </c>
      <c r="P199" s="6">
        <f t="shared" si="22"/>
        <v>5.9656736434458963</v>
      </c>
      <c r="Q199" s="6">
        <f t="shared" si="23"/>
        <v>17.517049760040415</v>
      </c>
      <c r="R199" s="6">
        <f t="shared" si="24"/>
        <v>50.468637346791631</v>
      </c>
      <c r="S199" s="6">
        <f t="shared" si="25"/>
        <v>50.428571428571431</v>
      </c>
      <c r="T199" s="6">
        <f t="shared" si="26"/>
        <v>3257.8332692804111</v>
      </c>
      <c r="U199" s="6">
        <f t="shared" si="27"/>
        <v>33.578332692804111</v>
      </c>
    </row>
    <row r="200" spans="1:21" x14ac:dyDescent="0.3">
      <c r="A200" s="2">
        <v>45459</v>
      </c>
      <c r="B200" t="s">
        <v>13</v>
      </c>
      <c r="C200" t="s">
        <v>18</v>
      </c>
      <c r="D200" t="s">
        <v>23</v>
      </c>
      <c r="E200" t="s">
        <v>29</v>
      </c>
      <c r="F200">
        <v>251270</v>
      </c>
      <c r="G200">
        <v>9386</v>
      </c>
      <c r="H200">
        <v>1500</v>
      </c>
      <c r="I200">
        <v>689</v>
      </c>
      <c r="J200">
        <v>349</v>
      </c>
      <c r="K200" s="4">
        <v>244867.93</v>
      </c>
      <c r="L200" s="4">
        <v>2427243.89</v>
      </c>
      <c r="M200" t="s">
        <v>33</v>
      </c>
      <c r="N200">
        <f t="shared" si="21"/>
        <v>1</v>
      </c>
      <c r="O200" t="str">
        <f>IF(AND(G200&lt;=F200,H200&lt;=G200,I200&lt;=H200,J200&lt;=I200),"OK","Check")</f>
        <v>OK</v>
      </c>
      <c r="P200" s="6">
        <f t="shared" si="22"/>
        <v>3.7354240458470969</v>
      </c>
      <c r="Q200" s="6">
        <f t="shared" si="23"/>
        <v>15.981248668229279</v>
      </c>
      <c r="R200" s="6">
        <f t="shared" si="24"/>
        <v>45.93333333333333</v>
      </c>
      <c r="S200" s="6">
        <f t="shared" si="25"/>
        <v>50.653120464441216</v>
      </c>
      <c r="T200" s="6">
        <f t="shared" si="26"/>
        <v>891.24613419160278</v>
      </c>
      <c r="U200" s="6">
        <f t="shared" si="27"/>
        <v>9.9124613419160283</v>
      </c>
    </row>
    <row r="201" spans="1:21" x14ac:dyDescent="0.3">
      <c r="A201" s="2">
        <v>45460</v>
      </c>
      <c r="B201" t="s">
        <v>13</v>
      </c>
      <c r="C201" t="s">
        <v>18</v>
      </c>
      <c r="D201" t="s">
        <v>23</v>
      </c>
      <c r="E201" t="s">
        <v>29</v>
      </c>
      <c r="F201">
        <v>207125</v>
      </c>
      <c r="G201">
        <v>16396</v>
      </c>
      <c r="H201">
        <v>3081</v>
      </c>
      <c r="I201">
        <v>1427</v>
      </c>
      <c r="J201">
        <v>767</v>
      </c>
      <c r="K201" s="4">
        <v>130264.98</v>
      </c>
      <c r="L201" s="4">
        <v>5214044.04</v>
      </c>
      <c r="M201" t="s">
        <v>34</v>
      </c>
      <c r="N201">
        <f t="shared" si="21"/>
        <v>1</v>
      </c>
      <c r="O201" t="str">
        <f>IF(AND(G201&lt;=F201,H201&lt;=G201,I201&lt;=H201,J201&lt;=I201),"OK","Check")</f>
        <v>OK</v>
      </c>
      <c r="P201" s="6">
        <f t="shared" si="22"/>
        <v>7.9159927579963787</v>
      </c>
      <c r="Q201" s="6">
        <f t="shared" si="23"/>
        <v>18.791168577701878</v>
      </c>
      <c r="R201" s="6">
        <f t="shared" si="24"/>
        <v>46.316131126257709</v>
      </c>
      <c r="S201" s="6">
        <f t="shared" si="25"/>
        <v>53.749124036440087</v>
      </c>
      <c r="T201" s="6">
        <f t="shared" si="26"/>
        <v>3902.6444866456045</v>
      </c>
      <c r="U201" s="6">
        <f t="shared" si="27"/>
        <v>40.026444866456053</v>
      </c>
    </row>
    <row r="202" spans="1:21" x14ac:dyDescent="0.3">
      <c r="A202" s="2">
        <v>45461</v>
      </c>
      <c r="B202" t="s">
        <v>13</v>
      </c>
      <c r="C202" t="s">
        <v>18</v>
      </c>
      <c r="D202" t="s">
        <v>23</v>
      </c>
      <c r="E202" t="s">
        <v>29</v>
      </c>
      <c r="F202">
        <v>224667</v>
      </c>
      <c r="G202">
        <v>15878</v>
      </c>
      <c r="H202">
        <v>3948</v>
      </c>
      <c r="I202">
        <v>2098</v>
      </c>
      <c r="J202">
        <v>1224</v>
      </c>
      <c r="K202" s="4">
        <v>195773.85</v>
      </c>
      <c r="L202" s="4">
        <v>4343632.79</v>
      </c>
      <c r="M202" t="s">
        <v>35</v>
      </c>
      <c r="N202">
        <f t="shared" si="21"/>
        <v>1</v>
      </c>
      <c r="O202" t="str">
        <f>IF(AND(G202&lt;=F202,H202&lt;=G202,I202&lt;=H202,J202&lt;=I202),"OK","Check")</f>
        <v>OK</v>
      </c>
      <c r="P202" s="6">
        <f t="shared" si="22"/>
        <v>7.0673485647647398</v>
      </c>
      <c r="Q202" s="6">
        <f t="shared" si="23"/>
        <v>24.864592517949362</v>
      </c>
      <c r="R202" s="6">
        <f t="shared" si="24"/>
        <v>53.140830800405269</v>
      </c>
      <c r="S202" s="6">
        <f t="shared" si="25"/>
        <v>58.341277407054335</v>
      </c>
      <c r="T202" s="6">
        <f t="shared" si="26"/>
        <v>2118.6991725401526</v>
      </c>
      <c r="U202" s="6">
        <f t="shared" si="27"/>
        <v>22.186991725401526</v>
      </c>
    </row>
    <row r="203" spans="1:21" x14ac:dyDescent="0.3">
      <c r="A203" s="2">
        <v>45462</v>
      </c>
      <c r="B203" t="s">
        <v>13</v>
      </c>
      <c r="C203" t="s">
        <v>18</v>
      </c>
      <c r="D203" t="s">
        <v>23</v>
      </c>
      <c r="E203" t="s">
        <v>29</v>
      </c>
      <c r="F203">
        <v>295874</v>
      </c>
      <c r="G203">
        <v>20384</v>
      </c>
      <c r="H203">
        <v>3505</v>
      </c>
      <c r="I203">
        <v>2023</v>
      </c>
      <c r="J203">
        <v>974</v>
      </c>
      <c r="K203" s="4">
        <v>195140.62</v>
      </c>
      <c r="L203" s="4">
        <v>5500364.7000000002</v>
      </c>
      <c r="M203" t="s">
        <v>35</v>
      </c>
      <c r="N203">
        <f t="shared" si="21"/>
        <v>1</v>
      </c>
      <c r="O203" t="str">
        <f>IF(AND(G203&lt;=F203,H203&lt;=G203,I203&lt;=H203,J203&lt;=I203),"OK","Check")</f>
        <v>OK</v>
      </c>
      <c r="P203" s="6">
        <f t="shared" si="22"/>
        <v>6.8894191446358928</v>
      </c>
      <c r="Q203" s="6">
        <f t="shared" si="23"/>
        <v>17.194858712715856</v>
      </c>
      <c r="R203" s="6">
        <f t="shared" si="24"/>
        <v>57.717546362339512</v>
      </c>
      <c r="S203" s="6">
        <f t="shared" si="25"/>
        <v>48.146317350469594</v>
      </c>
      <c r="T203" s="6">
        <f t="shared" si="26"/>
        <v>2718.6672257165119</v>
      </c>
      <c r="U203" s="6">
        <f t="shared" si="27"/>
        <v>28.186672257165117</v>
      </c>
    </row>
    <row r="204" spans="1:21" x14ac:dyDescent="0.3">
      <c r="A204" s="2">
        <v>45463</v>
      </c>
      <c r="B204" t="s">
        <v>13</v>
      </c>
      <c r="C204" t="s">
        <v>18</v>
      </c>
      <c r="D204" t="s">
        <v>23</v>
      </c>
      <c r="E204" t="s">
        <v>29</v>
      </c>
      <c r="F204">
        <v>205409</v>
      </c>
      <c r="G204">
        <v>7026</v>
      </c>
      <c r="H204">
        <v>1119</v>
      </c>
      <c r="I204">
        <v>706</v>
      </c>
      <c r="J204">
        <v>423</v>
      </c>
      <c r="K204" s="4">
        <v>175824.96</v>
      </c>
      <c r="L204" s="4">
        <v>1322998.03</v>
      </c>
      <c r="M204" t="s">
        <v>31</v>
      </c>
      <c r="N204">
        <f t="shared" si="21"/>
        <v>1</v>
      </c>
      <c r="O204" t="str">
        <f>IF(AND(G204&lt;=F204,H204&lt;=G204,I204&lt;=H204,J204&lt;=I204),"OK","Check")</f>
        <v>OK</v>
      </c>
      <c r="P204" s="6">
        <f t="shared" si="22"/>
        <v>3.4204927729554204</v>
      </c>
      <c r="Q204" s="6">
        <f t="shared" si="23"/>
        <v>15.926558497011101</v>
      </c>
      <c r="R204" s="6">
        <f t="shared" si="24"/>
        <v>63.092046470062556</v>
      </c>
      <c r="S204" s="6">
        <f t="shared" si="25"/>
        <v>59.915014164305944</v>
      </c>
      <c r="T204" s="6">
        <f t="shared" si="26"/>
        <v>652.45177362758966</v>
      </c>
      <c r="U204" s="6">
        <f t="shared" si="27"/>
        <v>7.5245177362758966</v>
      </c>
    </row>
    <row r="205" spans="1:21" x14ac:dyDescent="0.3">
      <c r="A205" s="2">
        <v>45464</v>
      </c>
      <c r="B205" t="s">
        <v>13</v>
      </c>
      <c r="C205" t="s">
        <v>18</v>
      </c>
      <c r="D205" t="s">
        <v>23</v>
      </c>
      <c r="E205" t="s">
        <v>29</v>
      </c>
      <c r="F205">
        <v>189047</v>
      </c>
      <c r="G205">
        <v>7231</v>
      </c>
      <c r="H205">
        <v>1473</v>
      </c>
      <c r="I205">
        <v>846</v>
      </c>
      <c r="J205">
        <v>469</v>
      </c>
      <c r="K205" s="4">
        <v>149311.23000000001</v>
      </c>
      <c r="L205" s="4">
        <v>2655170.75</v>
      </c>
      <c r="M205" t="s">
        <v>33</v>
      </c>
      <c r="N205">
        <f t="shared" si="21"/>
        <v>1</v>
      </c>
      <c r="O205" t="str">
        <f>IF(AND(G205&lt;=F205,H205&lt;=G205,I205&lt;=H205,J205&lt;=I205),"OK","Check")</f>
        <v>OK</v>
      </c>
      <c r="P205" s="6">
        <f t="shared" si="22"/>
        <v>3.8249747417308924</v>
      </c>
      <c r="Q205" s="6">
        <f t="shared" si="23"/>
        <v>20.370626469367998</v>
      </c>
      <c r="R205" s="6">
        <f t="shared" si="24"/>
        <v>57.433808553971488</v>
      </c>
      <c r="S205" s="6">
        <f t="shared" si="25"/>
        <v>55.437352245862883</v>
      </c>
      <c r="T205" s="6">
        <f t="shared" si="26"/>
        <v>1678.2793363901696</v>
      </c>
      <c r="U205" s="6">
        <f t="shared" si="27"/>
        <v>17.782793363901696</v>
      </c>
    </row>
    <row r="206" spans="1:21" x14ac:dyDescent="0.3">
      <c r="A206" s="2">
        <v>45465</v>
      </c>
      <c r="B206" t="s">
        <v>13</v>
      </c>
      <c r="C206" t="s">
        <v>18</v>
      </c>
      <c r="D206" t="s">
        <v>23</v>
      </c>
      <c r="E206" t="s">
        <v>29</v>
      </c>
      <c r="F206">
        <v>174907</v>
      </c>
      <c r="G206">
        <v>8495</v>
      </c>
      <c r="H206">
        <v>2121</v>
      </c>
      <c r="I206">
        <v>1059</v>
      </c>
      <c r="J206">
        <v>425</v>
      </c>
      <c r="K206" s="4">
        <v>134700.51</v>
      </c>
      <c r="L206" s="4">
        <v>2590998.61</v>
      </c>
      <c r="M206" t="s">
        <v>33</v>
      </c>
      <c r="N206">
        <f t="shared" si="21"/>
        <v>1</v>
      </c>
      <c r="O206" t="str">
        <f>IF(AND(G206&lt;=F206,H206&lt;=G206,I206&lt;=H206,J206&lt;=I206),"OK","Check")</f>
        <v>OK</v>
      </c>
      <c r="P206" s="6">
        <f t="shared" si="22"/>
        <v>4.8568667920666417</v>
      </c>
      <c r="Q206" s="6">
        <f t="shared" si="23"/>
        <v>24.967628016480283</v>
      </c>
      <c r="R206" s="6">
        <f t="shared" si="24"/>
        <v>49.929278642149924</v>
      </c>
      <c r="S206" s="6">
        <f t="shared" si="25"/>
        <v>40.132200188857411</v>
      </c>
      <c r="T206" s="6">
        <f t="shared" si="26"/>
        <v>1823.5254640090072</v>
      </c>
      <c r="U206" s="6">
        <f t="shared" si="27"/>
        <v>19.235254640090076</v>
      </c>
    </row>
    <row r="207" spans="1:21" x14ac:dyDescent="0.3">
      <c r="A207" s="2">
        <v>45466</v>
      </c>
      <c r="B207" t="s">
        <v>13</v>
      </c>
      <c r="C207" t="s">
        <v>18</v>
      </c>
      <c r="D207" t="s">
        <v>23</v>
      </c>
      <c r="E207" t="s">
        <v>29</v>
      </c>
      <c r="F207">
        <v>176167</v>
      </c>
      <c r="G207">
        <v>10868</v>
      </c>
      <c r="H207">
        <v>1936</v>
      </c>
      <c r="I207">
        <v>1164</v>
      </c>
      <c r="J207">
        <v>627</v>
      </c>
      <c r="K207" s="4">
        <v>121892.02</v>
      </c>
      <c r="L207" s="4">
        <v>4751275.42</v>
      </c>
      <c r="M207" t="s">
        <v>35</v>
      </c>
      <c r="N207">
        <f t="shared" si="21"/>
        <v>1</v>
      </c>
      <c r="O207" t="str">
        <f>IF(AND(G207&lt;=F207,H207&lt;=G207,I207&lt;=H207,J207&lt;=I207),"OK","Check")</f>
        <v>OK</v>
      </c>
      <c r="P207" s="6">
        <f t="shared" si="22"/>
        <v>6.1691463213882285</v>
      </c>
      <c r="Q207" s="6">
        <f t="shared" si="23"/>
        <v>17.813765182186234</v>
      </c>
      <c r="R207" s="6">
        <f t="shared" si="24"/>
        <v>60.123966942148769</v>
      </c>
      <c r="S207" s="6">
        <f t="shared" si="25"/>
        <v>53.865979381443296</v>
      </c>
      <c r="T207" s="6">
        <f t="shared" si="26"/>
        <v>3797.9380438522553</v>
      </c>
      <c r="U207" s="6">
        <f t="shared" si="27"/>
        <v>38.979380438522554</v>
      </c>
    </row>
    <row r="208" spans="1:21" x14ac:dyDescent="0.3">
      <c r="A208" s="2">
        <v>45467</v>
      </c>
      <c r="B208" t="s">
        <v>13</v>
      </c>
      <c r="C208" t="s">
        <v>18</v>
      </c>
      <c r="D208" t="s">
        <v>23</v>
      </c>
      <c r="E208" t="s">
        <v>29</v>
      </c>
      <c r="F208">
        <v>170905</v>
      </c>
      <c r="G208">
        <v>8986</v>
      </c>
      <c r="H208">
        <v>2123</v>
      </c>
      <c r="I208">
        <v>1289</v>
      </c>
      <c r="J208">
        <v>772</v>
      </c>
      <c r="K208" s="4">
        <v>77320.5</v>
      </c>
      <c r="L208" s="4">
        <v>3546992.04</v>
      </c>
      <c r="M208" t="s">
        <v>31</v>
      </c>
      <c r="N208">
        <f t="shared" si="21"/>
        <v>1</v>
      </c>
      <c r="O208" t="str">
        <f>IF(AND(G208&lt;=F208,H208&lt;=G208,I208&lt;=H208,J208&lt;=I208),"OK","Check")</f>
        <v>OK</v>
      </c>
      <c r="P208" s="6">
        <f t="shared" si="22"/>
        <v>5.2578918112401629</v>
      </c>
      <c r="Q208" s="6">
        <f t="shared" si="23"/>
        <v>23.625639884264409</v>
      </c>
      <c r="R208" s="6">
        <f t="shared" si="24"/>
        <v>60.715967969853978</v>
      </c>
      <c r="S208" s="6">
        <f t="shared" si="25"/>
        <v>59.891388673390225</v>
      </c>
      <c r="T208" s="6">
        <f t="shared" si="26"/>
        <v>4487.388907210895</v>
      </c>
      <c r="U208" s="6">
        <f t="shared" si="27"/>
        <v>45.873889072108952</v>
      </c>
    </row>
    <row r="209" spans="1:21" x14ac:dyDescent="0.3">
      <c r="A209" s="2">
        <v>45468</v>
      </c>
      <c r="B209" t="s">
        <v>13</v>
      </c>
      <c r="C209" t="s">
        <v>18</v>
      </c>
      <c r="D209" t="s">
        <v>23</v>
      </c>
      <c r="E209" t="s">
        <v>29</v>
      </c>
      <c r="F209">
        <v>92195</v>
      </c>
      <c r="G209">
        <v>6158</v>
      </c>
      <c r="H209">
        <v>1102</v>
      </c>
      <c r="I209">
        <v>514</v>
      </c>
      <c r="J209">
        <v>217</v>
      </c>
      <c r="K209" s="4">
        <v>53344.57</v>
      </c>
      <c r="L209" s="4">
        <v>1158159.81</v>
      </c>
      <c r="M209" t="s">
        <v>34</v>
      </c>
      <c r="N209">
        <f t="shared" si="21"/>
        <v>1</v>
      </c>
      <c r="O209" t="str">
        <f>IF(AND(G209&lt;=F209,H209&lt;=G209,I209&lt;=H209,J209&lt;=I209),"OK","Check")</f>
        <v>OK</v>
      </c>
      <c r="P209" s="6">
        <f t="shared" si="22"/>
        <v>6.6793210043928628</v>
      </c>
      <c r="Q209" s="6">
        <f t="shared" si="23"/>
        <v>17.895420591101008</v>
      </c>
      <c r="R209" s="6">
        <f t="shared" si="24"/>
        <v>46.64246823956443</v>
      </c>
      <c r="S209" s="6">
        <f t="shared" si="25"/>
        <v>42.217898832684824</v>
      </c>
      <c r="T209" s="6">
        <f t="shared" si="26"/>
        <v>2071.0922217575285</v>
      </c>
      <c r="U209" s="6">
        <f t="shared" si="27"/>
        <v>21.710922217575284</v>
      </c>
    </row>
    <row r="210" spans="1:21" x14ac:dyDescent="0.3">
      <c r="A210" s="2">
        <v>45469</v>
      </c>
      <c r="B210" t="s">
        <v>13</v>
      </c>
      <c r="C210" t="s">
        <v>18</v>
      </c>
      <c r="D210" t="s">
        <v>23</v>
      </c>
      <c r="E210" t="s">
        <v>29</v>
      </c>
      <c r="F210">
        <v>144589</v>
      </c>
      <c r="G210">
        <v>11439</v>
      </c>
      <c r="H210">
        <v>2189</v>
      </c>
      <c r="I210">
        <v>1146</v>
      </c>
      <c r="J210">
        <v>674</v>
      </c>
      <c r="K210" s="4">
        <v>93882.94</v>
      </c>
      <c r="L210" s="4">
        <v>3774177.24</v>
      </c>
      <c r="M210" t="s">
        <v>31</v>
      </c>
      <c r="N210">
        <f t="shared" si="21"/>
        <v>1</v>
      </c>
      <c r="O210" t="str">
        <f>IF(AND(G210&lt;=F210,H210&lt;=G210,I210&lt;=H210,J210&lt;=I210),"OK","Check")</f>
        <v>OK</v>
      </c>
      <c r="P210" s="6">
        <f t="shared" si="22"/>
        <v>7.9113902164065042</v>
      </c>
      <c r="Q210" s="6">
        <f t="shared" si="23"/>
        <v>19.136288137074921</v>
      </c>
      <c r="R210" s="6">
        <f t="shared" si="24"/>
        <v>52.352672453174961</v>
      </c>
      <c r="S210" s="6">
        <f t="shared" si="25"/>
        <v>58.813263525305416</v>
      </c>
      <c r="T210" s="6">
        <f t="shared" si="26"/>
        <v>3920.0884633566011</v>
      </c>
      <c r="U210" s="6">
        <f t="shared" si="27"/>
        <v>40.200884633566012</v>
      </c>
    </row>
    <row r="211" spans="1:21" x14ac:dyDescent="0.3">
      <c r="A211" s="2">
        <v>45470</v>
      </c>
      <c r="B211" t="s">
        <v>13</v>
      </c>
      <c r="C211" t="s">
        <v>18</v>
      </c>
      <c r="D211" t="s">
        <v>23</v>
      </c>
      <c r="E211" t="s">
        <v>29</v>
      </c>
      <c r="F211">
        <v>218634</v>
      </c>
      <c r="G211">
        <v>13467</v>
      </c>
      <c r="H211">
        <v>2852</v>
      </c>
      <c r="I211">
        <v>1603</v>
      </c>
      <c r="J211">
        <v>838</v>
      </c>
      <c r="K211" s="4">
        <v>196856.04</v>
      </c>
      <c r="L211" s="4">
        <v>2571768.14</v>
      </c>
      <c r="M211" t="s">
        <v>33</v>
      </c>
      <c r="N211">
        <f t="shared" si="21"/>
        <v>1</v>
      </c>
      <c r="O211" t="str">
        <f>IF(AND(G211&lt;=F211,H211&lt;=G211,I211&lt;=H211,J211&lt;=I211),"OK","Check")</f>
        <v>OK</v>
      </c>
      <c r="P211" s="6">
        <f t="shared" si="22"/>
        <v>6.1596092099124569</v>
      </c>
      <c r="Q211" s="6">
        <f t="shared" si="23"/>
        <v>21.177693621445016</v>
      </c>
      <c r="R211" s="6">
        <f t="shared" si="24"/>
        <v>56.206171107994386</v>
      </c>
      <c r="S211" s="6">
        <f t="shared" si="25"/>
        <v>52.27698066126014</v>
      </c>
      <c r="T211" s="6">
        <f t="shared" si="26"/>
        <v>1206.4207427925503</v>
      </c>
      <c r="U211" s="6">
        <f t="shared" si="27"/>
        <v>13.064207427925503</v>
      </c>
    </row>
    <row r="212" spans="1:21" x14ac:dyDescent="0.3">
      <c r="A212" s="2">
        <v>45471</v>
      </c>
      <c r="B212" t="s">
        <v>13</v>
      </c>
      <c r="C212" t="s">
        <v>18</v>
      </c>
      <c r="D212" t="s">
        <v>23</v>
      </c>
      <c r="E212" t="s">
        <v>29</v>
      </c>
      <c r="F212">
        <v>224017</v>
      </c>
      <c r="G212">
        <v>17218</v>
      </c>
      <c r="H212">
        <v>3927</v>
      </c>
      <c r="I212">
        <v>2217</v>
      </c>
      <c r="J212">
        <v>1085</v>
      </c>
      <c r="K212" s="4">
        <v>145416.06</v>
      </c>
      <c r="L212" s="4">
        <v>7154154.9100000001</v>
      </c>
      <c r="M212" t="s">
        <v>33</v>
      </c>
      <c r="N212">
        <f t="shared" si="21"/>
        <v>1</v>
      </c>
      <c r="O212" t="str">
        <f>IF(AND(G212&lt;=F212,H212&lt;=G212,I212&lt;=H212,J212&lt;=I212),"OK","Check")</f>
        <v>OK</v>
      </c>
      <c r="P212" s="6">
        <f t="shared" si="22"/>
        <v>7.6860238285487252</v>
      </c>
      <c r="Q212" s="6">
        <f t="shared" si="23"/>
        <v>22.80752700662098</v>
      </c>
      <c r="R212" s="6">
        <f t="shared" si="24"/>
        <v>56.455309396485866</v>
      </c>
      <c r="S212" s="6">
        <f t="shared" si="25"/>
        <v>48.94000902119982</v>
      </c>
      <c r="T212" s="6">
        <f t="shared" si="26"/>
        <v>4819.7832137660725</v>
      </c>
      <c r="U212" s="6">
        <f t="shared" si="27"/>
        <v>49.197832137660725</v>
      </c>
    </row>
    <row r="213" spans="1:21" x14ac:dyDescent="0.3">
      <c r="A213" s="2">
        <v>45472</v>
      </c>
      <c r="B213" t="s">
        <v>13</v>
      </c>
      <c r="C213" t="s">
        <v>18</v>
      </c>
      <c r="D213" t="s">
        <v>23</v>
      </c>
      <c r="E213" t="s">
        <v>29</v>
      </c>
      <c r="F213">
        <v>99562</v>
      </c>
      <c r="G213">
        <v>5277</v>
      </c>
      <c r="H213">
        <v>1146</v>
      </c>
      <c r="I213">
        <v>694</v>
      </c>
      <c r="J213">
        <v>296</v>
      </c>
      <c r="K213" s="4">
        <v>73478.7</v>
      </c>
      <c r="L213" s="4">
        <v>920163.38</v>
      </c>
      <c r="M213" t="s">
        <v>33</v>
      </c>
      <c r="N213">
        <f t="shared" si="21"/>
        <v>1</v>
      </c>
      <c r="O213" t="str">
        <f>IF(AND(G213&lt;=F213,H213&lt;=G213,I213&lt;=H213,J213&lt;=I213),"OK","Check")</f>
        <v>OK</v>
      </c>
      <c r="P213" s="6">
        <f t="shared" si="22"/>
        <v>5.3002149414435227</v>
      </c>
      <c r="Q213" s="6">
        <f t="shared" si="23"/>
        <v>21.716884593519044</v>
      </c>
      <c r="R213" s="6">
        <f t="shared" si="24"/>
        <v>60.558464223385691</v>
      </c>
      <c r="S213" s="6">
        <f t="shared" si="25"/>
        <v>42.65129682997118</v>
      </c>
      <c r="T213" s="6">
        <f t="shared" si="26"/>
        <v>1152.2858733211121</v>
      </c>
      <c r="U213" s="6">
        <f t="shared" si="27"/>
        <v>12.522858733211121</v>
      </c>
    </row>
    <row r="214" spans="1:21" x14ac:dyDescent="0.3">
      <c r="A214" s="2">
        <v>45473</v>
      </c>
      <c r="B214" t="s">
        <v>13</v>
      </c>
      <c r="C214" t="s">
        <v>18</v>
      </c>
      <c r="D214" t="s">
        <v>23</v>
      </c>
      <c r="E214" t="s">
        <v>29</v>
      </c>
      <c r="F214">
        <v>247894</v>
      </c>
      <c r="G214">
        <v>9939</v>
      </c>
      <c r="H214">
        <v>2312</v>
      </c>
      <c r="I214">
        <v>1356</v>
      </c>
      <c r="J214">
        <v>632</v>
      </c>
      <c r="K214" s="4">
        <v>174102.28</v>
      </c>
      <c r="L214" s="4">
        <v>4208262.5199999996</v>
      </c>
      <c r="M214" t="s">
        <v>34</v>
      </c>
      <c r="N214">
        <f t="shared" si="21"/>
        <v>1</v>
      </c>
      <c r="O214" t="str">
        <f>IF(AND(G214&lt;=F214,H214&lt;=G214,I214&lt;=H214,J214&lt;=I214),"OK","Check")</f>
        <v>OK</v>
      </c>
      <c r="P214" s="6">
        <f t="shared" si="22"/>
        <v>4.0093749747876108</v>
      </c>
      <c r="Q214" s="6">
        <f t="shared" si="23"/>
        <v>23.261897575208774</v>
      </c>
      <c r="R214" s="6">
        <f t="shared" si="24"/>
        <v>58.650519031141869</v>
      </c>
      <c r="S214" s="6">
        <f t="shared" si="25"/>
        <v>46.607669616519175</v>
      </c>
      <c r="T214" s="6">
        <f t="shared" si="26"/>
        <v>2317.1208556257848</v>
      </c>
      <c r="U214" s="6">
        <f t="shared" si="27"/>
        <v>24.171208556257849</v>
      </c>
    </row>
    <row r="215" spans="1:21" x14ac:dyDescent="0.3">
      <c r="A215" s="2">
        <v>45474</v>
      </c>
      <c r="B215" t="s">
        <v>13</v>
      </c>
      <c r="C215" t="s">
        <v>18</v>
      </c>
      <c r="D215" t="s">
        <v>23</v>
      </c>
      <c r="E215" t="s">
        <v>29</v>
      </c>
      <c r="F215">
        <v>189966</v>
      </c>
      <c r="G215">
        <v>6959</v>
      </c>
      <c r="H215">
        <v>1711</v>
      </c>
      <c r="I215">
        <v>797</v>
      </c>
      <c r="J215">
        <v>357</v>
      </c>
      <c r="K215" s="4">
        <v>128422.24</v>
      </c>
      <c r="L215" s="4">
        <v>2524973.42</v>
      </c>
      <c r="M215" t="s">
        <v>32</v>
      </c>
      <c r="N215">
        <f t="shared" si="21"/>
        <v>1</v>
      </c>
      <c r="O215" t="str">
        <f>IF(AND(G215&lt;=F215,H215&lt;=G215,I215&lt;=H215,J215&lt;=I215),"OK","Check")</f>
        <v>OK</v>
      </c>
      <c r="P215" s="6">
        <f t="shared" si="22"/>
        <v>3.6632871145362853</v>
      </c>
      <c r="Q215" s="6">
        <f t="shared" si="23"/>
        <v>24.586865929012788</v>
      </c>
      <c r="R215" s="6">
        <f t="shared" si="24"/>
        <v>46.580946814728229</v>
      </c>
      <c r="S215" s="6">
        <f t="shared" si="25"/>
        <v>44.792973651191971</v>
      </c>
      <c r="T215" s="6">
        <f t="shared" si="26"/>
        <v>1866.1496482229243</v>
      </c>
      <c r="U215" s="6">
        <f t="shared" si="27"/>
        <v>19.661496482229246</v>
      </c>
    </row>
    <row r="216" spans="1:21" x14ac:dyDescent="0.3">
      <c r="A216" s="2">
        <v>45475</v>
      </c>
      <c r="B216" t="s">
        <v>13</v>
      </c>
      <c r="C216" t="s">
        <v>18</v>
      </c>
      <c r="D216" t="s">
        <v>23</v>
      </c>
      <c r="E216" t="s">
        <v>29</v>
      </c>
      <c r="F216">
        <v>290368</v>
      </c>
      <c r="G216">
        <v>17043</v>
      </c>
      <c r="H216">
        <v>2956</v>
      </c>
      <c r="I216">
        <v>1912</v>
      </c>
      <c r="J216">
        <v>1082</v>
      </c>
      <c r="K216" s="4">
        <v>182544.6</v>
      </c>
      <c r="L216" s="4">
        <v>3348574.79</v>
      </c>
      <c r="M216" t="s">
        <v>32</v>
      </c>
      <c r="N216">
        <f t="shared" si="21"/>
        <v>1</v>
      </c>
      <c r="O216" t="str">
        <f>IF(AND(G216&lt;=F216,H216&lt;=G216,I216&lt;=H216,J216&lt;=I216),"OK","Check")</f>
        <v>OK</v>
      </c>
      <c r="P216" s="6">
        <f t="shared" si="22"/>
        <v>5.8694484240687679</v>
      </c>
      <c r="Q216" s="6">
        <f t="shared" si="23"/>
        <v>17.344364255119405</v>
      </c>
      <c r="R216" s="6">
        <f t="shared" si="24"/>
        <v>64.682002706359938</v>
      </c>
      <c r="S216" s="6">
        <f t="shared" si="25"/>
        <v>56.589958158995813</v>
      </c>
      <c r="T216" s="6">
        <f t="shared" si="26"/>
        <v>1734.3872072907113</v>
      </c>
      <c r="U216" s="6">
        <f t="shared" si="27"/>
        <v>18.343872072907114</v>
      </c>
    </row>
    <row r="217" spans="1:21" x14ac:dyDescent="0.3">
      <c r="A217" s="2">
        <v>45476</v>
      </c>
      <c r="B217" t="s">
        <v>13</v>
      </c>
      <c r="C217" t="s">
        <v>18</v>
      </c>
      <c r="D217" t="s">
        <v>23</v>
      </c>
      <c r="E217" t="s">
        <v>29</v>
      </c>
      <c r="F217">
        <v>98624</v>
      </c>
      <c r="G217">
        <v>5398</v>
      </c>
      <c r="H217">
        <v>1025</v>
      </c>
      <c r="I217">
        <v>555</v>
      </c>
      <c r="J217">
        <v>234</v>
      </c>
      <c r="K217" s="4">
        <v>58644.23</v>
      </c>
      <c r="L217" s="4">
        <v>1605697.96</v>
      </c>
      <c r="M217" t="s">
        <v>35</v>
      </c>
      <c r="N217">
        <f t="shared" si="21"/>
        <v>1</v>
      </c>
      <c r="O217" t="str">
        <f>IF(AND(G217&lt;=F217,H217&lt;=G217,I217&lt;=H217,J217&lt;=I217),"OK","Check")</f>
        <v>OK</v>
      </c>
      <c r="P217" s="6">
        <f t="shared" si="22"/>
        <v>5.4733127839065538</v>
      </c>
      <c r="Q217" s="6">
        <f t="shared" si="23"/>
        <v>18.988514264542424</v>
      </c>
      <c r="R217" s="6">
        <f t="shared" si="24"/>
        <v>54.146341463414636</v>
      </c>
      <c r="S217" s="6">
        <f t="shared" si="25"/>
        <v>42.162162162162161</v>
      </c>
      <c r="T217" s="6">
        <f t="shared" si="26"/>
        <v>2638.0323008759769</v>
      </c>
      <c r="U217" s="6">
        <f t="shared" si="27"/>
        <v>27.380323008759767</v>
      </c>
    </row>
    <row r="218" spans="1:21" x14ac:dyDescent="0.3">
      <c r="A218" s="2">
        <v>45477</v>
      </c>
      <c r="B218" t="s">
        <v>13</v>
      </c>
      <c r="C218" t="s">
        <v>18</v>
      </c>
      <c r="D218" t="s">
        <v>23</v>
      </c>
      <c r="E218" t="s">
        <v>29</v>
      </c>
      <c r="F218">
        <v>185544</v>
      </c>
      <c r="G218">
        <v>8967</v>
      </c>
      <c r="H218">
        <v>1881</v>
      </c>
      <c r="I218">
        <v>974</v>
      </c>
      <c r="J218">
        <v>497</v>
      </c>
      <c r="K218" s="4">
        <v>143891.23000000001</v>
      </c>
      <c r="L218" s="4">
        <v>2013575.82</v>
      </c>
      <c r="M218" t="s">
        <v>33</v>
      </c>
      <c r="N218">
        <f t="shared" si="21"/>
        <v>1</v>
      </c>
      <c r="O218" t="str">
        <f>IF(AND(G218&lt;=F218,H218&lt;=G218,I218&lt;=H218,J218&lt;=I218),"OK","Check")</f>
        <v>OK</v>
      </c>
      <c r="P218" s="6">
        <f t="shared" si="22"/>
        <v>4.832815935842711</v>
      </c>
      <c r="Q218" s="6">
        <f t="shared" si="23"/>
        <v>20.976915356306456</v>
      </c>
      <c r="R218" s="6">
        <f t="shared" si="24"/>
        <v>51.780967570441248</v>
      </c>
      <c r="S218" s="6">
        <f t="shared" si="25"/>
        <v>51.026694045174537</v>
      </c>
      <c r="T218" s="6">
        <f t="shared" si="26"/>
        <v>1299.3735545939805</v>
      </c>
      <c r="U218" s="6">
        <f t="shared" si="27"/>
        <v>13.993735545939805</v>
      </c>
    </row>
    <row r="219" spans="1:21" x14ac:dyDescent="0.3">
      <c r="A219" s="2">
        <v>45478</v>
      </c>
      <c r="B219" t="s">
        <v>13</v>
      </c>
      <c r="C219" t="s">
        <v>18</v>
      </c>
      <c r="D219" t="s">
        <v>23</v>
      </c>
      <c r="E219" t="s">
        <v>29</v>
      </c>
      <c r="F219">
        <v>64345</v>
      </c>
      <c r="G219">
        <v>2893</v>
      </c>
      <c r="H219">
        <v>673</v>
      </c>
      <c r="I219">
        <v>399</v>
      </c>
      <c r="J219">
        <v>231</v>
      </c>
      <c r="K219" s="4">
        <v>58397.08</v>
      </c>
      <c r="L219" s="4">
        <v>1512057.86</v>
      </c>
      <c r="M219" t="s">
        <v>35</v>
      </c>
      <c r="N219">
        <f t="shared" si="21"/>
        <v>1</v>
      </c>
      <c r="O219" t="str">
        <f>IF(AND(G219&lt;=F219,H219&lt;=G219,I219&lt;=H219,J219&lt;=I219),"OK","Check")</f>
        <v>OK</v>
      </c>
      <c r="P219" s="6">
        <f t="shared" si="22"/>
        <v>4.4960758411687003</v>
      </c>
      <c r="Q219" s="6">
        <f t="shared" si="23"/>
        <v>23.263048738333911</v>
      </c>
      <c r="R219" s="6">
        <f t="shared" si="24"/>
        <v>59.286775631500745</v>
      </c>
      <c r="S219" s="6">
        <f t="shared" si="25"/>
        <v>57.894736842105267</v>
      </c>
      <c r="T219" s="6">
        <f t="shared" si="26"/>
        <v>2489.2696347146125</v>
      </c>
      <c r="U219" s="6">
        <f t="shared" si="27"/>
        <v>25.892696347146124</v>
      </c>
    </row>
    <row r="220" spans="1:21" x14ac:dyDescent="0.3">
      <c r="A220" s="2">
        <v>45479</v>
      </c>
      <c r="B220" t="s">
        <v>13</v>
      </c>
      <c r="C220" t="s">
        <v>18</v>
      </c>
      <c r="D220" t="s">
        <v>23</v>
      </c>
      <c r="E220" t="s">
        <v>29</v>
      </c>
      <c r="F220">
        <v>260059</v>
      </c>
      <c r="G220">
        <v>15459</v>
      </c>
      <c r="H220">
        <v>2859</v>
      </c>
      <c r="I220">
        <v>1616</v>
      </c>
      <c r="J220">
        <v>748</v>
      </c>
      <c r="K220" s="4">
        <v>238169.83</v>
      </c>
      <c r="L220" s="4">
        <v>3760809.01</v>
      </c>
      <c r="M220" t="s">
        <v>31</v>
      </c>
      <c r="N220">
        <f t="shared" si="21"/>
        <v>1</v>
      </c>
      <c r="O220" t="str">
        <f>IF(AND(G220&lt;=F220,H220&lt;=G220,I220&lt;=H220,J220&lt;=I220),"OK","Check")</f>
        <v>OK</v>
      </c>
      <c r="P220" s="6">
        <f t="shared" si="22"/>
        <v>5.9444203046231818</v>
      </c>
      <c r="Q220" s="6">
        <f t="shared" si="23"/>
        <v>18.494081117795456</v>
      </c>
      <c r="R220" s="6">
        <f t="shared" si="24"/>
        <v>56.523259881077301</v>
      </c>
      <c r="S220" s="6">
        <f t="shared" si="25"/>
        <v>46.287128712871286</v>
      </c>
      <c r="T220" s="6">
        <f t="shared" si="26"/>
        <v>1479.0450914794708</v>
      </c>
      <c r="U220" s="6">
        <f t="shared" si="27"/>
        <v>15.790450914794707</v>
      </c>
    </row>
    <row r="221" spans="1:21" x14ac:dyDescent="0.3">
      <c r="A221" s="2">
        <v>45480</v>
      </c>
      <c r="B221" t="s">
        <v>13</v>
      </c>
      <c r="C221" t="s">
        <v>18</v>
      </c>
      <c r="D221" t="s">
        <v>23</v>
      </c>
      <c r="E221" t="s">
        <v>29</v>
      </c>
      <c r="F221">
        <v>272679</v>
      </c>
      <c r="G221">
        <v>12573</v>
      </c>
      <c r="H221">
        <v>2386</v>
      </c>
      <c r="I221">
        <v>1298</v>
      </c>
      <c r="J221">
        <v>669</v>
      </c>
      <c r="K221" s="4">
        <v>125239.22</v>
      </c>
      <c r="L221" s="4">
        <v>4864239.68</v>
      </c>
      <c r="M221" t="s">
        <v>35</v>
      </c>
      <c r="N221">
        <f t="shared" si="21"/>
        <v>1</v>
      </c>
      <c r="O221" t="str">
        <f>IF(AND(G221&lt;=F221,H221&lt;=G221,I221&lt;=H221,J221&lt;=I221),"OK","Check")</f>
        <v>OK</v>
      </c>
      <c r="P221" s="6">
        <f t="shared" si="22"/>
        <v>4.610916132155392</v>
      </c>
      <c r="Q221" s="6">
        <f t="shared" si="23"/>
        <v>18.977173307881969</v>
      </c>
      <c r="R221" s="6">
        <f t="shared" si="24"/>
        <v>54.400670578373841</v>
      </c>
      <c r="S221" s="6">
        <f t="shared" si="25"/>
        <v>51.54083204930663</v>
      </c>
      <c r="T221" s="6">
        <f t="shared" si="26"/>
        <v>3783.9587790470114</v>
      </c>
      <c r="U221" s="6">
        <f t="shared" si="27"/>
        <v>38.839587790470105</v>
      </c>
    </row>
    <row r="222" spans="1:21" x14ac:dyDescent="0.3">
      <c r="A222" s="2">
        <v>45481</v>
      </c>
      <c r="B222" t="s">
        <v>13</v>
      </c>
      <c r="C222" t="s">
        <v>18</v>
      </c>
      <c r="D222" t="s">
        <v>23</v>
      </c>
      <c r="E222" t="s">
        <v>29</v>
      </c>
      <c r="F222">
        <v>248350</v>
      </c>
      <c r="G222">
        <v>16741</v>
      </c>
      <c r="H222">
        <v>2897</v>
      </c>
      <c r="I222">
        <v>1713</v>
      </c>
      <c r="J222">
        <v>861</v>
      </c>
      <c r="K222" s="4">
        <v>217164.85</v>
      </c>
      <c r="L222" s="4">
        <v>3498930.88</v>
      </c>
      <c r="M222" t="s">
        <v>31</v>
      </c>
      <c r="N222">
        <f t="shared" si="21"/>
        <v>1</v>
      </c>
      <c r="O222" t="str">
        <f>IF(AND(G222&lt;=F222,H222&lt;=G222,I222&lt;=H222,J222&lt;=I222),"OK","Check")</f>
        <v>OK</v>
      </c>
      <c r="P222" s="6">
        <f t="shared" si="22"/>
        <v>6.7408898731628755</v>
      </c>
      <c r="Q222" s="6">
        <f t="shared" si="23"/>
        <v>17.30482050056747</v>
      </c>
      <c r="R222" s="6">
        <f t="shared" si="24"/>
        <v>59.13013462202278</v>
      </c>
      <c r="S222" s="6">
        <f t="shared" si="25"/>
        <v>50.262697022767078</v>
      </c>
      <c r="T222" s="6">
        <f t="shared" si="26"/>
        <v>1511.1865617294877</v>
      </c>
      <c r="U222" s="6">
        <f t="shared" si="27"/>
        <v>16.111865617294878</v>
      </c>
    </row>
    <row r="223" spans="1:21" x14ac:dyDescent="0.3">
      <c r="A223" s="2">
        <v>45482</v>
      </c>
      <c r="B223" t="s">
        <v>13</v>
      </c>
      <c r="C223" t="s">
        <v>18</v>
      </c>
      <c r="D223" t="s">
        <v>23</v>
      </c>
      <c r="E223" t="s">
        <v>29</v>
      </c>
      <c r="F223">
        <v>177393</v>
      </c>
      <c r="G223">
        <v>7806</v>
      </c>
      <c r="H223">
        <v>1826</v>
      </c>
      <c r="I223">
        <v>1016</v>
      </c>
      <c r="J223">
        <v>471</v>
      </c>
      <c r="K223" s="4">
        <v>138014.22</v>
      </c>
      <c r="L223" s="4">
        <v>3729596.77</v>
      </c>
      <c r="M223" t="s">
        <v>31</v>
      </c>
      <c r="N223">
        <f t="shared" si="21"/>
        <v>1</v>
      </c>
      <c r="O223" t="str">
        <f>IF(AND(G223&lt;=F223,H223&lt;=G223,I223&lt;=H223,J223&lt;=I223),"OK","Check")</f>
        <v>OK</v>
      </c>
      <c r="P223" s="6">
        <f t="shared" si="22"/>
        <v>4.400399113832</v>
      </c>
      <c r="Q223" s="6">
        <f t="shared" si="23"/>
        <v>23.392262362285422</v>
      </c>
      <c r="R223" s="6">
        <f t="shared" si="24"/>
        <v>55.640744797371298</v>
      </c>
      <c r="S223" s="6">
        <f t="shared" si="25"/>
        <v>46.358267716535437</v>
      </c>
      <c r="T223" s="6">
        <f t="shared" si="26"/>
        <v>2602.3278978064723</v>
      </c>
      <c r="U223" s="6">
        <f t="shared" si="27"/>
        <v>27.023278978064724</v>
      </c>
    </row>
    <row r="224" spans="1:21" x14ac:dyDescent="0.3">
      <c r="A224" s="2">
        <v>45483</v>
      </c>
      <c r="B224" t="s">
        <v>13</v>
      </c>
      <c r="C224" t="s">
        <v>18</v>
      </c>
      <c r="D224" t="s">
        <v>23</v>
      </c>
      <c r="E224" t="s">
        <v>29</v>
      </c>
      <c r="F224">
        <v>151029</v>
      </c>
      <c r="G224">
        <v>9303</v>
      </c>
      <c r="H224">
        <v>1887</v>
      </c>
      <c r="I224">
        <v>1057</v>
      </c>
      <c r="J224">
        <v>498</v>
      </c>
      <c r="K224" s="4">
        <v>70776.38</v>
      </c>
      <c r="L224" s="4">
        <v>1931400.27</v>
      </c>
      <c r="M224" t="s">
        <v>31</v>
      </c>
      <c r="N224">
        <f t="shared" si="21"/>
        <v>1</v>
      </c>
      <c r="O224" t="str">
        <f>IF(AND(G224&lt;=F224,H224&lt;=G224,I224&lt;=H224,J224&lt;=I224),"OK","Check")</f>
        <v>OK</v>
      </c>
      <c r="P224" s="6">
        <f t="shared" si="22"/>
        <v>6.1597441550960408</v>
      </c>
      <c r="Q224" s="6">
        <f t="shared" si="23"/>
        <v>20.283779425991614</v>
      </c>
      <c r="R224" s="6">
        <f t="shared" si="24"/>
        <v>56.014838367779539</v>
      </c>
      <c r="S224" s="6">
        <f t="shared" si="25"/>
        <v>47.114474929044462</v>
      </c>
      <c r="T224" s="6">
        <f t="shared" si="26"/>
        <v>2628.876879546538</v>
      </c>
      <c r="U224" s="6">
        <f t="shared" si="27"/>
        <v>27.28876879546538</v>
      </c>
    </row>
    <row r="225" spans="1:21" x14ac:dyDescent="0.3">
      <c r="A225" s="2">
        <v>45484</v>
      </c>
      <c r="B225" t="s">
        <v>13</v>
      </c>
      <c r="C225" t="s">
        <v>18</v>
      </c>
      <c r="D225" t="s">
        <v>23</v>
      </c>
      <c r="E225" t="s">
        <v>29</v>
      </c>
      <c r="F225">
        <v>53745</v>
      </c>
      <c r="G225">
        <v>4296</v>
      </c>
      <c r="H225">
        <v>787</v>
      </c>
      <c r="I225">
        <v>354</v>
      </c>
      <c r="J225">
        <v>145</v>
      </c>
      <c r="K225" s="4">
        <v>28330.69</v>
      </c>
      <c r="L225" s="4">
        <v>567612.72</v>
      </c>
      <c r="M225" t="s">
        <v>33</v>
      </c>
      <c r="N225">
        <f t="shared" si="21"/>
        <v>1</v>
      </c>
      <c r="O225" t="str">
        <f>IF(AND(G225&lt;=F225,H225&lt;=G225,I225&lt;=H225,J225&lt;=I225),"OK","Check")</f>
        <v>OK</v>
      </c>
      <c r="P225" s="6">
        <f t="shared" si="22"/>
        <v>7.9933017024839517</v>
      </c>
      <c r="Q225" s="6">
        <f t="shared" si="23"/>
        <v>18.319366852886407</v>
      </c>
      <c r="R225" s="6">
        <f t="shared" si="24"/>
        <v>44.980940279542573</v>
      </c>
      <c r="S225" s="6">
        <f t="shared" si="25"/>
        <v>40.960451977401128</v>
      </c>
      <c r="T225" s="6">
        <f t="shared" si="26"/>
        <v>1903.5259289484304</v>
      </c>
      <c r="U225" s="6">
        <f t="shared" si="27"/>
        <v>20.035259289484301</v>
      </c>
    </row>
    <row r="226" spans="1:21" x14ac:dyDescent="0.3">
      <c r="A226" s="2">
        <v>45485</v>
      </c>
      <c r="B226" t="s">
        <v>13</v>
      </c>
      <c r="C226" t="s">
        <v>18</v>
      </c>
      <c r="D226" t="s">
        <v>23</v>
      </c>
      <c r="E226" t="s">
        <v>29</v>
      </c>
      <c r="F226">
        <v>81985</v>
      </c>
      <c r="G226">
        <v>2676</v>
      </c>
      <c r="H226">
        <v>589</v>
      </c>
      <c r="I226">
        <v>334</v>
      </c>
      <c r="J226">
        <v>155</v>
      </c>
      <c r="K226" s="4">
        <v>39730.86</v>
      </c>
      <c r="L226" s="4">
        <v>1134386.5</v>
      </c>
      <c r="M226" t="s">
        <v>35</v>
      </c>
      <c r="N226">
        <f t="shared" si="21"/>
        <v>1</v>
      </c>
      <c r="O226" t="str">
        <f>IF(AND(G226&lt;=F226,H226&lt;=G226,I226&lt;=H226,J226&lt;=I226),"OK","Check")</f>
        <v>OK</v>
      </c>
      <c r="P226" s="6">
        <f t="shared" si="22"/>
        <v>3.2640117094590471</v>
      </c>
      <c r="Q226" s="6">
        <f t="shared" si="23"/>
        <v>22.010463378176382</v>
      </c>
      <c r="R226" s="6">
        <f t="shared" si="24"/>
        <v>56.706281833616302</v>
      </c>
      <c r="S226" s="6">
        <f t="shared" si="25"/>
        <v>46.407185628742518</v>
      </c>
      <c r="T226" s="6">
        <f t="shared" si="26"/>
        <v>2755.1773105339271</v>
      </c>
      <c r="U226" s="6">
        <f t="shared" si="27"/>
        <v>28.551773105339276</v>
      </c>
    </row>
    <row r="227" spans="1:21" x14ac:dyDescent="0.3">
      <c r="A227" s="2">
        <v>45486</v>
      </c>
      <c r="B227" t="s">
        <v>13</v>
      </c>
      <c r="C227" t="s">
        <v>18</v>
      </c>
      <c r="D227" t="s">
        <v>23</v>
      </c>
      <c r="E227" t="s">
        <v>29</v>
      </c>
      <c r="F227">
        <v>101535</v>
      </c>
      <c r="G227">
        <v>3234</v>
      </c>
      <c r="H227">
        <v>704</v>
      </c>
      <c r="I227">
        <v>418</v>
      </c>
      <c r="J227">
        <v>167</v>
      </c>
      <c r="K227" s="4">
        <v>49643.44</v>
      </c>
      <c r="L227" s="4">
        <v>538637.71</v>
      </c>
      <c r="M227" t="s">
        <v>32</v>
      </c>
      <c r="N227">
        <f t="shared" si="21"/>
        <v>1</v>
      </c>
      <c r="O227" t="str">
        <f>IF(AND(G227&lt;=F227,H227&lt;=G227,I227&lt;=H227,J227&lt;=I227),"OK","Check")</f>
        <v>OK</v>
      </c>
      <c r="P227" s="6">
        <f t="shared" si="22"/>
        <v>3.185108583247156</v>
      </c>
      <c r="Q227" s="6">
        <f t="shared" si="23"/>
        <v>21.768707482993197</v>
      </c>
      <c r="R227" s="6">
        <f t="shared" si="24"/>
        <v>59.375</v>
      </c>
      <c r="S227" s="6">
        <f t="shared" si="25"/>
        <v>39.952153110047846</v>
      </c>
      <c r="T227" s="6">
        <f t="shared" si="26"/>
        <v>985.01286373385869</v>
      </c>
      <c r="U227" s="6">
        <f t="shared" si="27"/>
        <v>10.850128637338587</v>
      </c>
    </row>
    <row r="228" spans="1:21" x14ac:dyDescent="0.3">
      <c r="A228" s="2">
        <v>45487</v>
      </c>
      <c r="B228" t="s">
        <v>13</v>
      </c>
      <c r="C228" t="s">
        <v>18</v>
      </c>
      <c r="D228" t="s">
        <v>23</v>
      </c>
      <c r="E228" t="s">
        <v>29</v>
      </c>
      <c r="F228">
        <v>56203</v>
      </c>
      <c r="G228">
        <v>3399</v>
      </c>
      <c r="H228">
        <v>526</v>
      </c>
      <c r="I228">
        <v>282</v>
      </c>
      <c r="J228">
        <v>124</v>
      </c>
      <c r="K228" s="4">
        <v>50748.12</v>
      </c>
      <c r="L228" s="4">
        <v>703721.34</v>
      </c>
      <c r="M228" t="s">
        <v>35</v>
      </c>
      <c r="N228">
        <f t="shared" si="21"/>
        <v>1</v>
      </c>
      <c r="O228" t="str">
        <f>IF(AND(G228&lt;=F228,H228&lt;=G228,I228&lt;=H228,J228&lt;=I228),"OK","Check")</f>
        <v>OK</v>
      </c>
      <c r="P228" s="6">
        <f t="shared" si="22"/>
        <v>6.0477198726046648</v>
      </c>
      <c r="Q228" s="6">
        <f t="shared" si="23"/>
        <v>15.475139746984407</v>
      </c>
      <c r="R228" s="6">
        <f t="shared" si="24"/>
        <v>53.612167300380229</v>
      </c>
      <c r="S228" s="6">
        <f t="shared" si="25"/>
        <v>43.971631205673759</v>
      </c>
      <c r="T228" s="6">
        <f t="shared" si="26"/>
        <v>1286.6944036547559</v>
      </c>
      <c r="U228" s="6">
        <f t="shared" si="27"/>
        <v>13.86694403654756</v>
      </c>
    </row>
    <row r="229" spans="1:21" x14ac:dyDescent="0.3">
      <c r="A229" s="2">
        <v>45488</v>
      </c>
      <c r="B229" t="s">
        <v>13</v>
      </c>
      <c r="C229" t="s">
        <v>18</v>
      </c>
      <c r="D229" t="s">
        <v>23</v>
      </c>
      <c r="E229" t="s">
        <v>29</v>
      </c>
      <c r="F229">
        <v>172571</v>
      </c>
      <c r="G229">
        <v>12649</v>
      </c>
      <c r="H229">
        <v>2920</v>
      </c>
      <c r="I229">
        <v>1512</v>
      </c>
      <c r="J229">
        <v>709</v>
      </c>
      <c r="K229" s="4">
        <v>144033.44</v>
      </c>
      <c r="L229" s="4">
        <v>4185547.5</v>
      </c>
      <c r="M229" t="s">
        <v>34</v>
      </c>
      <c r="N229">
        <f t="shared" si="21"/>
        <v>1</v>
      </c>
      <c r="O229" t="str">
        <f>IF(AND(G229&lt;=F229,H229&lt;=G229,I229&lt;=H229,J229&lt;=I229),"OK","Check")</f>
        <v>OK</v>
      </c>
      <c r="P229" s="6">
        <f t="shared" si="22"/>
        <v>7.3297367460349649</v>
      </c>
      <c r="Q229" s="6">
        <f t="shared" si="23"/>
        <v>23.084828840224525</v>
      </c>
      <c r="R229" s="6">
        <f t="shared" si="24"/>
        <v>51.780821917808218</v>
      </c>
      <c r="S229" s="6">
        <f t="shared" si="25"/>
        <v>46.891534391534393</v>
      </c>
      <c r="T229" s="6">
        <f t="shared" si="26"/>
        <v>2805.9553809170984</v>
      </c>
      <c r="U229" s="6">
        <f t="shared" si="27"/>
        <v>29.059553809170982</v>
      </c>
    </row>
    <row r="230" spans="1:21" x14ac:dyDescent="0.3">
      <c r="A230" s="2">
        <v>45489</v>
      </c>
      <c r="B230" t="s">
        <v>13</v>
      </c>
      <c r="C230" t="s">
        <v>18</v>
      </c>
      <c r="D230" t="s">
        <v>23</v>
      </c>
      <c r="E230" t="s">
        <v>29</v>
      </c>
      <c r="F230">
        <v>206620</v>
      </c>
      <c r="G230">
        <v>15320</v>
      </c>
      <c r="H230">
        <v>3284</v>
      </c>
      <c r="I230">
        <v>2077</v>
      </c>
      <c r="J230">
        <v>936</v>
      </c>
      <c r="K230" s="4">
        <v>107031.96</v>
      </c>
      <c r="L230" s="4">
        <v>4032427.25</v>
      </c>
      <c r="M230" t="s">
        <v>34</v>
      </c>
      <c r="N230">
        <f t="shared" si="21"/>
        <v>1</v>
      </c>
      <c r="O230" t="str">
        <f>IF(AND(G230&lt;=F230,H230&lt;=G230,I230&lt;=H230,J230&lt;=I230),"OK","Check")</f>
        <v>OK</v>
      </c>
      <c r="P230" s="6">
        <f t="shared" si="22"/>
        <v>7.4145774852386017</v>
      </c>
      <c r="Q230" s="6">
        <f t="shared" si="23"/>
        <v>21.436031331592691</v>
      </c>
      <c r="R230" s="6">
        <f t="shared" si="24"/>
        <v>63.246041412911083</v>
      </c>
      <c r="S230" s="6">
        <f t="shared" si="25"/>
        <v>45.064997592681756</v>
      </c>
      <c r="T230" s="6">
        <f t="shared" si="26"/>
        <v>3667.4982780844148</v>
      </c>
      <c r="U230" s="6">
        <f t="shared" si="27"/>
        <v>37.674982780844147</v>
      </c>
    </row>
    <row r="231" spans="1:21" x14ac:dyDescent="0.3">
      <c r="A231" s="2">
        <v>45490</v>
      </c>
      <c r="B231" t="s">
        <v>13</v>
      </c>
      <c r="C231" t="s">
        <v>18</v>
      </c>
      <c r="D231" t="s">
        <v>23</v>
      </c>
      <c r="E231" t="s">
        <v>29</v>
      </c>
      <c r="F231">
        <v>238579</v>
      </c>
      <c r="G231">
        <v>11277</v>
      </c>
      <c r="H231">
        <v>1997</v>
      </c>
      <c r="I231">
        <v>942</v>
      </c>
      <c r="J231">
        <v>481</v>
      </c>
      <c r="K231" s="4">
        <v>200472.94</v>
      </c>
      <c r="L231" s="4">
        <v>1996665.29</v>
      </c>
      <c r="M231" t="s">
        <v>34</v>
      </c>
      <c r="N231">
        <f t="shared" si="21"/>
        <v>1</v>
      </c>
      <c r="O231" t="str">
        <f>IF(AND(G231&lt;=F231,H231&lt;=G231,I231&lt;=H231,J231&lt;=I231),"OK","Check")</f>
        <v>OK</v>
      </c>
      <c r="P231" s="6">
        <f t="shared" si="22"/>
        <v>4.7267362173535812</v>
      </c>
      <c r="Q231" s="6">
        <f t="shared" si="23"/>
        <v>17.708610446040613</v>
      </c>
      <c r="R231" s="6">
        <f t="shared" si="24"/>
        <v>47.170756134201305</v>
      </c>
      <c r="S231" s="6">
        <f t="shared" si="25"/>
        <v>51.061571125265395</v>
      </c>
      <c r="T231" s="6">
        <f t="shared" si="26"/>
        <v>895.97745710717868</v>
      </c>
      <c r="U231" s="6">
        <f t="shared" si="27"/>
        <v>9.9597745710717867</v>
      </c>
    </row>
    <row r="232" spans="1:21" x14ac:dyDescent="0.3">
      <c r="A232" s="2">
        <v>45491</v>
      </c>
      <c r="B232" t="s">
        <v>13</v>
      </c>
      <c r="C232" t="s">
        <v>18</v>
      </c>
      <c r="D232" t="s">
        <v>23</v>
      </c>
      <c r="E232" t="s">
        <v>29</v>
      </c>
      <c r="F232">
        <v>299596</v>
      </c>
      <c r="G232">
        <v>13778</v>
      </c>
      <c r="H232">
        <v>2469</v>
      </c>
      <c r="I232">
        <v>1401</v>
      </c>
      <c r="J232">
        <v>803</v>
      </c>
      <c r="K232" s="4">
        <v>133225.18</v>
      </c>
      <c r="L232" s="4">
        <v>4364604.8499999996</v>
      </c>
      <c r="M232" t="s">
        <v>31</v>
      </c>
      <c r="N232">
        <f t="shared" si="21"/>
        <v>1</v>
      </c>
      <c r="O232" t="str">
        <f>IF(AND(G232&lt;=F232,H232&lt;=G232,I232&lt;=H232,J232&lt;=I232),"OK","Check")</f>
        <v>OK</v>
      </c>
      <c r="P232" s="6">
        <f t="shared" si="22"/>
        <v>4.5988597978611194</v>
      </c>
      <c r="Q232" s="6">
        <f t="shared" si="23"/>
        <v>17.919872260124837</v>
      </c>
      <c r="R232" s="6">
        <f t="shared" si="24"/>
        <v>56.743620899149448</v>
      </c>
      <c r="S232" s="6">
        <f t="shared" si="25"/>
        <v>57.316202712348321</v>
      </c>
      <c r="T232" s="6">
        <f t="shared" si="26"/>
        <v>3176.1110549822488</v>
      </c>
      <c r="U232" s="6">
        <f t="shared" si="27"/>
        <v>32.76111054982249</v>
      </c>
    </row>
    <row r="233" spans="1:21" x14ac:dyDescent="0.3">
      <c r="A233" s="2">
        <v>45492</v>
      </c>
      <c r="B233" t="s">
        <v>13</v>
      </c>
      <c r="C233" t="s">
        <v>18</v>
      </c>
      <c r="D233" t="s">
        <v>23</v>
      </c>
      <c r="E233" t="s">
        <v>29</v>
      </c>
      <c r="F233">
        <v>289584</v>
      </c>
      <c r="G233">
        <v>9928</v>
      </c>
      <c r="H233">
        <v>1754</v>
      </c>
      <c r="I233">
        <v>852</v>
      </c>
      <c r="J233">
        <v>495</v>
      </c>
      <c r="K233" s="4">
        <v>233553.6</v>
      </c>
      <c r="L233" s="4">
        <v>1607665.33</v>
      </c>
      <c r="M233" t="s">
        <v>33</v>
      </c>
      <c r="N233">
        <f t="shared" si="21"/>
        <v>1</v>
      </c>
      <c r="O233" t="str">
        <f>IF(AND(G233&lt;=F233,H233&lt;=G233,I233&lt;=H233,J233&lt;=I233),"OK","Check")</f>
        <v>OK</v>
      </c>
      <c r="P233" s="6">
        <f t="shared" si="22"/>
        <v>3.4283662080777946</v>
      </c>
      <c r="Q233" s="6">
        <f t="shared" si="23"/>
        <v>17.66720386784851</v>
      </c>
      <c r="R233" s="6">
        <f t="shared" si="24"/>
        <v>48.574686431014825</v>
      </c>
      <c r="S233" s="6">
        <f t="shared" si="25"/>
        <v>58.098591549295776</v>
      </c>
      <c r="T233" s="6">
        <f t="shared" si="26"/>
        <v>588.34962509676575</v>
      </c>
      <c r="U233" s="6">
        <f t="shared" si="27"/>
        <v>6.8834962509676583</v>
      </c>
    </row>
    <row r="234" spans="1:21" x14ac:dyDescent="0.3">
      <c r="A234" s="2">
        <v>45493</v>
      </c>
      <c r="B234" t="s">
        <v>13</v>
      </c>
      <c r="C234" t="s">
        <v>18</v>
      </c>
      <c r="D234" t="s">
        <v>23</v>
      </c>
      <c r="E234" t="s">
        <v>29</v>
      </c>
      <c r="F234">
        <v>272890</v>
      </c>
      <c r="G234">
        <v>10309</v>
      </c>
      <c r="H234">
        <v>2371</v>
      </c>
      <c r="I234">
        <v>1461</v>
      </c>
      <c r="J234">
        <v>865</v>
      </c>
      <c r="K234" s="4">
        <v>248690.64</v>
      </c>
      <c r="L234" s="4">
        <v>6675094.5599999996</v>
      </c>
      <c r="M234" t="s">
        <v>34</v>
      </c>
      <c r="N234">
        <f t="shared" si="21"/>
        <v>1</v>
      </c>
      <c r="O234" t="str">
        <f>IF(AND(G234&lt;=F234,H234&lt;=G234,I234&lt;=H234,J234&lt;=I234),"OK","Check")</f>
        <v>OK</v>
      </c>
      <c r="P234" s="6">
        <f t="shared" si="22"/>
        <v>3.7777126314632272</v>
      </c>
      <c r="Q234" s="6">
        <f t="shared" si="23"/>
        <v>22.999320981666504</v>
      </c>
      <c r="R234" s="6">
        <f t="shared" si="24"/>
        <v>61.619569801771398</v>
      </c>
      <c r="S234" s="6">
        <f t="shared" si="25"/>
        <v>59.206023271731688</v>
      </c>
      <c r="T234" s="6">
        <f t="shared" si="26"/>
        <v>2584.09561373118</v>
      </c>
      <c r="U234" s="6">
        <f t="shared" si="27"/>
        <v>26.8409561373118</v>
      </c>
    </row>
    <row r="235" spans="1:21" x14ac:dyDescent="0.3">
      <c r="A235" s="2">
        <v>45494</v>
      </c>
      <c r="B235" t="s">
        <v>13</v>
      </c>
      <c r="C235" t="s">
        <v>18</v>
      </c>
      <c r="D235" t="s">
        <v>23</v>
      </c>
      <c r="E235" t="s">
        <v>29</v>
      </c>
      <c r="F235">
        <v>285905</v>
      </c>
      <c r="G235">
        <v>8585</v>
      </c>
      <c r="H235">
        <v>1949</v>
      </c>
      <c r="I235">
        <v>993</v>
      </c>
      <c r="J235">
        <v>582</v>
      </c>
      <c r="K235" s="4">
        <v>254211.76</v>
      </c>
      <c r="L235" s="4">
        <v>3218555.65</v>
      </c>
      <c r="M235" t="s">
        <v>34</v>
      </c>
      <c r="N235">
        <f t="shared" si="21"/>
        <v>1</v>
      </c>
      <c r="O235" t="str">
        <f>IF(AND(G235&lt;=F235,H235&lt;=G235,I235&lt;=H235,J235&lt;=I235),"OK","Check")</f>
        <v>OK</v>
      </c>
      <c r="P235" s="6">
        <f t="shared" si="22"/>
        <v>3.0027456672670993</v>
      </c>
      <c r="Q235" s="6">
        <f t="shared" si="23"/>
        <v>22.702387885847408</v>
      </c>
      <c r="R235" s="6">
        <f t="shared" si="24"/>
        <v>50.949204720369423</v>
      </c>
      <c r="S235" s="6">
        <f t="shared" si="25"/>
        <v>58.610271903323266</v>
      </c>
      <c r="T235" s="6">
        <f t="shared" si="26"/>
        <v>1166.0923515104098</v>
      </c>
      <c r="U235" s="6">
        <f t="shared" si="27"/>
        <v>12.6609235151041</v>
      </c>
    </row>
    <row r="236" spans="1:21" x14ac:dyDescent="0.3">
      <c r="A236" s="2">
        <v>45495</v>
      </c>
      <c r="B236" t="s">
        <v>13</v>
      </c>
      <c r="C236" t="s">
        <v>18</v>
      </c>
      <c r="D236" t="s">
        <v>23</v>
      </c>
      <c r="E236" t="s">
        <v>29</v>
      </c>
      <c r="F236">
        <v>92579</v>
      </c>
      <c r="G236">
        <v>6825</v>
      </c>
      <c r="H236">
        <v>1236</v>
      </c>
      <c r="I236">
        <v>768</v>
      </c>
      <c r="J236">
        <v>372</v>
      </c>
      <c r="K236" s="4">
        <v>46340.62</v>
      </c>
      <c r="L236" s="4">
        <v>2501009.92</v>
      </c>
      <c r="M236" t="s">
        <v>34</v>
      </c>
      <c r="N236">
        <f t="shared" si="21"/>
        <v>1</v>
      </c>
      <c r="O236" t="str">
        <f>IF(AND(G236&lt;=F236,H236&lt;=G236,I236&lt;=H236,J236&lt;=I236),"OK","Check")</f>
        <v>OK</v>
      </c>
      <c r="P236" s="6">
        <f t="shared" si="22"/>
        <v>7.3720822216701416</v>
      </c>
      <c r="Q236" s="6">
        <f t="shared" si="23"/>
        <v>18.109890109890109</v>
      </c>
      <c r="R236" s="6">
        <f t="shared" si="24"/>
        <v>62.135922330097081</v>
      </c>
      <c r="S236" s="6">
        <f t="shared" si="25"/>
        <v>48.4375</v>
      </c>
      <c r="T236" s="6">
        <f t="shared" si="26"/>
        <v>5297.0143688194066</v>
      </c>
      <c r="U236" s="6">
        <f t="shared" si="27"/>
        <v>53.970143688194071</v>
      </c>
    </row>
    <row r="237" spans="1:21" x14ac:dyDescent="0.3">
      <c r="A237" s="2">
        <v>45496</v>
      </c>
      <c r="B237" t="s">
        <v>13</v>
      </c>
      <c r="C237" t="s">
        <v>18</v>
      </c>
      <c r="D237" t="s">
        <v>23</v>
      </c>
      <c r="E237" t="s">
        <v>29</v>
      </c>
      <c r="F237">
        <v>262199</v>
      </c>
      <c r="G237">
        <v>20171</v>
      </c>
      <c r="H237">
        <v>3719</v>
      </c>
      <c r="I237">
        <v>2289</v>
      </c>
      <c r="J237">
        <v>1259</v>
      </c>
      <c r="K237" s="4">
        <v>108832.62</v>
      </c>
      <c r="L237" s="4">
        <v>8859616.1300000008</v>
      </c>
      <c r="M237" t="s">
        <v>33</v>
      </c>
      <c r="N237">
        <f t="shared" si="21"/>
        <v>1</v>
      </c>
      <c r="O237" t="str">
        <f>IF(AND(G237&lt;=F237,H237&lt;=G237,I237&lt;=H237,J237&lt;=I237),"OK","Check")</f>
        <v>OK</v>
      </c>
      <c r="P237" s="6">
        <f t="shared" si="22"/>
        <v>7.6930117963836624</v>
      </c>
      <c r="Q237" s="6">
        <f t="shared" si="23"/>
        <v>18.437360567150858</v>
      </c>
      <c r="R237" s="6">
        <f t="shared" si="24"/>
        <v>61.548803441785424</v>
      </c>
      <c r="S237" s="6">
        <f t="shared" si="25"/>
        <v>55.002184359982522</v>
      </c>
      <c r="T237" s="6">
        <f t="shared" si="26"/>
        <v>8040.5888510264676</v>
      </c>
      <c r="U237" s="6">
        <f t="shared" si="27"/>
        <v>81.405888510264674</v>
      </c>
    </row>
    <row r="238" spans="1:21" x14ac:dyDescent="0.3">
      <c r="A238" s="2">
        <v>45497</v>
      </c>
      <c r="B238" t="s">
        <v>13</v>
      </c>
      <c r="C238" t="s">
        <v>18</v>
      </c>
      <c r="D238" t="s">
        <v>23</v>
      </c>
      <c r="E238" t="s">
        <v>29</v>
      </c>
      <c r="F238">
        <v>198212</v>
      </c>
      <c r="G238">
        <v>6874</v>
      </c>
      <c r="H238">
        <v>1415</v>
      </c>
      <c r="I238">
        <v>799</v>
      </c>
      <c r="J238">
        <v>462</v>
      </c>
      <c r="K238" s="4">
        <v>108824.3</v>
      </c>
      <c r="L238" s="4">
        <v>3333666.45</v>
      </c>
      <c r="M238" t="s">
        <v>31</v>
      </c>
      <c r="N238">
        <f t="shared" si="21"/>
        <v>1</v>
      </c>
      <c r="O238" t="str">
        <f>IF(AND(G238&lt;=F238,H238&lt;=G238,I238&lt;=H238,J238&lt;=I238),"OK","Check")</f>
        <v>OK</v>
      </c>
      <c r="P238" s="6">
        <f t="shared" si="22"/>
        <v>3.4680039553609268</v>
      </c>
      <c r="Q238" s="6">
        <f t="shared" si="23"/>
        <v>20.58481233633983</v>
      </c>
      <c r="R238" s="6">
        <f t="shared" si="24"/>
        <v>56.466431095406357</v>
      </c>
      <c r="S238" s="6">
        <f t="shared" si="25"/>
        <v>57.822277847309131</v>
      </c>
      <c r="T238" s="6">
        <f t="shared" si="26"/>
        <v>2963.3474784583959</v>
      </c>
      <c r="U238" s="6">
        <f t="shared" si="27"/>
        <v>30.63347478458396</v>
      </c>
    </row>
    <row r="239" spans="1:21" x14ac:dyDescent="0.3">
      <c r="A239" s="2">
        <v>45498</v>
      </c>
      <c r="B239" t="s">
        <v>13</v>
      </c>
      <c r="C239" t="s">
        <v>18</v>
      </c>
      <c r="D239" t="s">
        <v>23</v>
      </c>
      <c r="E239" t="s">
        <v>29</v>
      </c>
      <c r="F239">
        <v>118809</v>
      </c>
      <c r="G239">
        <v>7312</v>
      </c>
      <c r="H239">
        <v>1760</v>
      </c>
      <c r="I239">
        <v>995</v>
      </c>
      <c r="J239">
        <v>443</v>
      </c>
      <c r="K239" s="4">
        <v>100651.52</v>
      </c>
      <c r="L239" s="4">
        <v>2996388.37</v>
      </c>
      <c r="M239" t="s">
        <v>34</v>
      </c>
      <c r="N239">
        <f t="shared" si="21"/>
        <v>1</v>
      </c>
      <c r="O239" t="str">
        <f>IF(AND(G239&lt;=F239,H239&lt;=G239,I239&lt;=H239,J239&lt;=I239),"OK","Check")</f>
        <v>OK</v>
      </c>
      <c r="P239" s="6">
        <f t="shared" si="22"/>
        <v>6.1544159112525145</v>
      </c>
      <c r="Q239" s="6">
        <f t="shared" si="23"/>
        <v>24.070021881838073</v>
      </c>
      <c r="R239" s="6">
        <f t="shared" si="24"/>
        <v>56.534090909090907</v>
      </c>
      <c r="S239" s="6">
        <f t="shared" si="25"/>
        <v>44.522613065326631</v>
      </c>
      <c r="T239" s="6">
        <f t="shared" si="26"/>
        <v>2876.9926673735281</v>
      </c>
      <c r="U239" s="6">
        <f t="shared" si="27"/>
        <v>29.769926673735281</v>
      </c>
    </row>
    <row r="240" spans="1:21" x14ac:dyDescent="0.3">
      <c r="A240" s="2">
        <v>45499</v>
      </c>
      <c r="B240" t="s">
        <v>13</v>
      </c>
      <c r="C240" t="s">
        <v>18</v>
      </c>
      <c r="D240" t="s">
        <v>23</v>
      </c>
      <c r="E240" t="s">
        <v>29</v>
      </c>
      <c r="F240">
        <v>182889</v>
      </c>
      <c r="G240">
        <v>5572</v>
      </c>
      <c r="H240">
        <v>878</v>
      </c>
      <c r="I240">
        <v>401</v>
      </c>
      <c r="J240">
        <v>226</v>
      </c>
      <c r="K240" s="4">
        <v>93158.25</v>
      </c>
      <c r="L240" s="4">
        <v>1525793.32</v>
      </c>
      <c r="M240" t="s">
        <v>33</v>
      </c>
      <c r="N240">
        <f t="shared" si="21"/>
        <v>1</v>
      </c>
      <c r="O240" t="str">
        <f>IF(AND(G240&lt;=F240,H240&lt;=G240,I240&lt;=H240,J240&lt;=I240),"OK","Check")</f>
        <v>OK</v>
      </c>
      <c r="P240" s="6">
        <f t="shared" si="22"/>
        <v>3.0466567152753856</v>
      </c>
      <c r="Q240" s="6">
        <f t="shared" si="23"/>
        <v>15.757358219669779</v>
      </c>
      <c r="R240" s="6">
        <f t="shared" si="24"/>
        <v>45.671981776765378</v>
      </c>
      <c r="S240" s="6">
        <f t="shared" si="25"/>
        <v>56.359102244389028</v>
      </c>
      <c r="T240" s="6">
        <f t="shared" si="26"/>
        <v>1537.8509901162809</v>
      </c>
      <c r="U240" s="6">
        <f t="shared" si="27"/>
        <v>16.378509901162808</v>
      </c>
    </row>
    <row r="241" spans="1:21" x14ac:dyDescent="0.3">
      <c r="A241" s="2">
        <v>45500</v>
      </c>
      <c r="B241" t="s">
        <v>13</v>
      </c>
      <c r="C241" t="s">
        <v>18</v>
      </c>
      <c r="D241" t="s">
        <v>23</v>
      </c>
      <c r="E241" t="s">
        <v>29</v>
      </c>
      <c r="F241">
        <v>85016</v>
      </c>
      <c r="G241">
        <v>3976</v>
      </c>
      <c r="H241">
        <v>731</v>
      </c>
      <c r="I241">
        <v>365</v>
      </c>
      <c r="J241">
        <v>182</v>
      </c>
      <c r="K241" s="4">
        <v>39557.93</v>
      </c>
      <c r="L241" s="4">
        <v>1358545.74</v>
      </c>
      <c r="M241" t="s">
        <v>32</v>
      </c>
      <c r="N241">
        <f t="shared" si="21"/>
        <v>1</v>
      </c>
      <c r="O241" t="str">
        <f>IF(AND(G241&lt;=F241,H241&lt;=G241,I241&lt;=H241,J241&lt;=I241),"OK","Check")</f>
        <v>OK</v>
      </c>
      <c r="P241" s="6">
        <f t="shared" si="22"/>
        <v>4.676766726263291</v>
      </c>
      <c r="Q241" s="6">
        <f t="shared" si="23"/>
        <v>18.385311871227366</v>
      </c>
      <c r="R241" s="6">
        <f t="shared" si="24"/>
        <v>49.931600547195622</v>
      </c>
      <c r="S241" s="6">
        <f t="shared" si="25"/>
        <v>49.863013698630141</v>
      </c>
      <c r="T241" s="6">
        <f t="shared" si="26"/>
        <v>3334.3195915458673</v>
      </c>
      <c r="U241" s="6">
        <f t="shared" si="27"/>
        <v>34.343195915458672</v>
      </c>
    </row>
    <row r="242" spans="1:21" x14ac:dyDescent="0.3">
      <c r="A242" s="2">
        <v>45501</v>
      </c>
      <c r="B242" t="s">
        <v>13</v>
      </c>
      <c r="C242" t="s">
        <v>18</v>
      </c>
      <c r="D242" t="s">
        <v>23</v>
      </c>
      <c r="E242" t="s">
        <v>29</v>
      </c>
      <c r="F242">
        <v>136206</v>
      </c>
      <c r="G242">
        <v>8419</v>
      </c>
      <c r="H242">
        <v>2017</v>
      </c>
      <c r="I242">
        <v>1200</v>
      </c>
      <c r="J242">
        <v>719</v>
      </c>
      <c r="K242" s="4">
        <v>66697.45</v>
      </c>
      <c r="L242" s="4">
        <v>3914237</v>
      </c>
      <c r="M242" t="s">
        <v>34</v>
      </c>
      <c r="N242">
        <f t="shared" si="21"/>
        <v>1</v>
      </c>
      <c r="O242" t="str">
        <f>IF(AND(G242&lt;=F242,H242&lt;=G242,I242&lt;=H242,J242&lt;=I242),"OK","Check")</f>
        <v>OK</v>
      </c>
      <c r="P242" s="6">
        <f t="shared" si="22"/>
        <v>6.1810786602645997</v>
      </c>
      <c r="Q242" s="6">
        <f t="shared" si="23"/>
        <v>23.957714692956408</v>
      </c>
      <c r="R242" s="6">
        <f t="shared" si="24"/>
        <v>59.494298463063956</v>
      </c>
      <c r="S242" s="6">
        <f t="shared" si="25"/>
        <v>59.916666666666664</v>
      </c>
      <c r="T242" s="6">
        <f t="shared" si="26"/>
        <v>5768.6456528697872</v>
      </c>
      <c r="U242" s="6">
        <f t="shared" si="27"/>
        <v>58.686456528697875</v>
      </c>
    </row>
    <row r="243" spans="1:21" x14ac:dyDescent="0.3">
      <c r="A243" s="2">
        <v>45502</v>
      </c>
      <c r="B243" t="s">
        <v>13</v>
      </c>
      <c r="C243" t="s">
        <v>18</v>
      </c>
      <c r="D243" t="s">
        <v>23</v>
      </c>
      <c r="E243" t="s">
        <v>29</v>
      </c>
      <c r="F243">
        <v>165347</v>
      </c>
      <c r="G243">
        <v>11046</v>
      </c>
      <c r="H243">
        <v>2068</v>
      </c>
      <c r="I243">
        <v>1143</v>
      </c>
      <c r="J243">
        <v>503</v>
      </c>
      <c r="K243" s="4">
        <v>143383.04000000001</v>
      </c>
      <c r="L243" s="4">
        <v>1991695.9</v>
      </c>
      <c r="M243" t="s">
        <v>32</v>
      </c>
      <c r="N243">
        <f t="shared" si="21"/>
        <v>1</v>
      </c>
      <c r="O243" t="str">
        <f>IF(AND(G243&lt;=F243,H243&lt;=G243,I243&lt;=H243,J243&lt;=I243),"OK","Check")</f>
        <v>OK</v>
      </c>
      <c r="P243" s="6">
        <f t="shared" si="22"/>
        <v>6.6804961686634776</v>
      </c>
      <c r="Q243" s="6">
        <f t="shared" si="23"/>
        <v>18.721709216005795</v>
      </c>
      <c r="R243" s="6">
        <f t="shared" si="24"/>
        <v>55.27079303675049</v>
      </c>
      <c r="S243" s="6">
        <f t="shared" si="25"/>
        <v>44.006999125109367</v>
      </c>
      <c r="T243" s="6">
        <f t="shared" si="26"/>
        <v>1289.0735612803296</v>
      </c>
      <c r="U243" s="6">
        <f t="shared" si="27"/>
        <v>13.890735612803297</v>
      </c>
    </row>
    <row r="244" spans="1:21" x14ac:dyDescent="0.3">
      <c r="A244" s="2">
        <v>45503</v>
      </c>
      <c r="B244" t="s">
        <v>13</v>
      </c>
      <c r="C244" t="s">
        <v>18</v>
      </c>
      <c r="D244" t="s">
        <v>23</v>
      </c>
      <c r="E244" t="s">
        <v>29</v>
      </c>
      <c r="F244">
        <v>293930</v>
      </c>
      <c r="G244">
        <v>12917</v>
      </c>
      <c r="H244">
        <v>3074</v>
      </c>
      <c r="I244">
        <v>1552</v>
      </c>
      <c r="J244">
        <v>860</v>
      </c>
      <c r="K244" s="4">
        <v>135737.98000000001</v>
      </c>
      <c r="L244" s="4">
        <v>4957159.97</v>
      </c>
      <c r="M244" t="s">
        <v>34</v>
      </c>
      <c r="N244">
        <f t="shared" si="21"/>
        <v>1</v>
      </c>
      <c r="O244" t="str">
        <f>IF(AND(G244&lt;=F244,H244&lt;=G244,I244&lt;=H244,J244&lt;=I244),"OK","Check")</f>
        <v>OK</v>
      </c>
      <c r="P244" s="6">
        <f t="shared" si="22"/>
        <v>4.3945837444289451</v>
      </c>
      <c r="Q244" s="6">
        <f t="shared" si="23"/>
        <v>23.798095533018504</v>
      </c>
      <c r="R244" s="6">
        <f t="shared" si="24"/>
        <v>50.487963565387119</v>
      </c>
      <c r="S244" s="6">
        <f t="shared" si="25"/>
        <v>55.412371134020624</v>
      </c>
      <c r="T244" s="6">
        <f t="shared" si="26"/>
        <v>3552.006586513221</v>
      </c>
      <c r="U244" s="6">
        <f t="shared" si="27"/>
        <v>36.520065865132217</v>
      </c>
    </row>
    <row r="245" spans="1:21" x14ac:dyDescent="0.3">
      <c r="A245" s="2">
        <v>45504</v>
      </c>
      <c r="B245" t="s">
        <v>13</v>
      </c>
      <c r="C245" t="s">
        <v>18</v>
      </c>
      <c r="D245" t="s">
        <v>23</v>
      </c>
      <c r="E245" t="s">
        <v>29</v>
      </c>
      <c r="F245">
        <v>143598</v>
      </c>
      <c r="G245">
        <v>9751</v>
      </c>
      <c r="H245">
        <v>1930</v>
      </c>
      <c r="I245">
        <v>965</v>
      </c>
      <c r="J245">
        <v>442</v>
      </c>
      <c r="K245" s="4">
        <v>121893.19</v>
      </c>
      <c r="L245" s="4">
        <v>1449676.75</v>
      </c>
      <c r="M245" t="s">
        <v>31</v>
      </c>
      <c r="N245">
        <f t="shared" si="21"/>
        <v>1</v>
      </c>
      <c r="O245" t="str">
        <f>IF(AND(G245&lt;=F245,H245&lt;=G245,I245&lt;=H245,J245&lt;=I245),"OK","Check")</f>
        <v>OK</v>
      </c>
      <c r="P245" s="6">
        <f t="shared" si="22"/>
        <v>6.7904845471385391</v>
      </c>
      <c r="Q245" s="6">
        <f t="shared" si="23"/>
        <v>19.792841759819506</v>
      </c>
      <c r="R245" s="6">
        <f t="shared" si="24"/>
        <v>50</v>
      </c>
      <c r="S245" s="6">
        <f t="shared" si="25"/>
        <v>45.803108808290155</v>
      </c>
      <c r="T245" s="6">
        <f t="shared" si="26"/>
        <v>1089.3008542971104</v>
      </c>
      <c r="U245" s="6">
        <f t="shared" si="27"/>
        <v>11.893008542971105</v>
      </c>
    </row>
    <row r="246" spans="1:21" x14ac:dyDescent="0.3">
      <c r="A246" s="2">
        <v>45505</v>
      </c>
      <c r="B246" t="s">
        <v>13</v>
      </c>
      <c r="C246" t="s">
        <v>18</v>
      </c>
      <c r="D246" t="s">
        <v>23</v>
      </c>
      <c r="E246" t="s">
        <v>29</v>
      </c>
      <c r="F246">
        <v>54410</v>
      </c>
      <c r="G246">
        <v>4309</v>
      </c>
      <c r="H246">
        <v>693</v>
      </c>
      <c r="I246">
        <v>357</v>
      </c>
      <c r="J246">
        <v>191</v>
      </c>
      <c r="K246" s="4">
        <v>48121.46</v>
      </c>
      <c r="L246" s="4">
        <v>1063428.31</v>
      </c>
      <c r="M246" t="s">
        <v>33</v>
      </c>
      <c r="N246">
        <f t="shared" si="21"/>
        <v>1</v>
      </c>
      <c r="O246" t="str">
        <f>IF(AND(G246&lt;=F246,H246&lt;=G246,I246&lt;=H246,J246&lt;=I246),"OK","Check")</f>
        <v>OK</v>
      </c>
      <c r="P246" s="6">
        <f t="shared" si="22"/>
        <v>7.9195000918948724</v>
      </c>
      <c r="Q246" s="6">
        <f t="shared" si="23"/>
        <v>16.082617776746343</v>
      </c>
      <c r="R246" s="6">
        <f t="shared" si="24"/>
        <v>51.515151515151516</v>
      </c>
      <c r="S246" s="6">
        <f t="shared" si="25"/>
        <v>53.501400560224091</v>
      </c>
      <c r="T246" s="6">
        <f t="shared" si="26"/>
        <v>2109.8837192387764</v>
      </c>
      <c r="U246" s="6">
        <f t="shared" si="27"/>
        <v>22.098837192387762</v>
      </c>
    </row>
    <row r="247" spans="1:21" x14ac:dyDescent="0.3">
      <c r="A247" s="2">
        <v>45505</v>
      </c>
      <c r="B247" t="s">
        <v>17</v>
      </c>
      <c r="C247" t="s">
        <v>22</v>
      </c>
      <c r="D247" t="s">
        <v>27</v>
      </c>
      <c r="E247" t="s">
        <v>28</v>
      </c>
      <c r="F247">
        <v>100600</v>
      </c>
      <c r="G247">
        <v>4426</v>
      </c>
      <c r="H247">
        <v>1006</v>
      </c>
      <c r="I247">
        <v>578</v>
      </c>
      <c r="J247">
        <v>315</v>
      </c>
      <c r="K247" s="4">
        <v>88124.93</v>
      </c>
      <c r="L247" s="4">
        <v>2363533.5</v>
      </c>
      <c r="M247" t="s">
        <v>32</v>
      </c>
      <c r="N247">
        <f t="shared" si="21"/>
        <v>1</v>
      </c>
      <c r="O247" t="str">
        <f>IF(AND(G247&lt;=F247,H247&lt;=G247,I247&lt;=H247,J247&lt;=I247),"OK","Check")</f>
        <v>OK</v>
      </c>
      <c r="P247" s="6">
        <f t="shared" si="22"/>
        <v>4.3996023856858848</v>
      </c>
      <c r="Q247" s="6">
        <f t="shared" si="23"/>
        <v>22.729326705829191</v>
      </c>
      <c r="R247" s="6">
        <f t="shared" si="24"/>
        <v>57.455268389662031</v>
      </c>
      <c r="S247" s="6">
        <f t="shared" si="25"/>
        <v>54.498269896193776</v>
      </c>
      <c r="T247" s="6">
        <f t="shared" si="26"/>
        <v>2582.0259601908338</v>
      </c>
      <c r="U247" s="6">
        <f t="shared" si="27"/>
        <v>26.82025960190834</v>
      </c>
    </row>
    <row r="248" spans="1:21" x14ac:dyDescent="0.3">
      <c r="A248" s="2">
        <v>45506</v>
      </c>
      <c r="B248" t="s">
        <v>13</v>
      </c>
      <c r="C248" t="s">
        <v>18</v>
      </c>
      <c r="D248" t="s">
        <v>23</v>
      </c>
      <c r="E248" t="s">
        <v>29</v>
      </c>
      <c r="F248">
        <v>132675</v>
      </c>
      <c r="G248">
        <v>10342</v>
      </c>
      <c r="H248">
        <v>1904</v>
      </c>
      <c r="I248">
        <v>862</v>
      </c>
      <c r="J248">
        <v>374</v>
      </c>
      <c r="K248" s="4">
        <v>113475.65</v>
      </c>
      <c r="L248" s="4">
        <v>1926663.81</v>
      </c>
      <c r="M248" t="s">
        <v>33</v>
      </c>
      <c r="N248">
        <f t="shared" si="21"/>
        <v>1</v>
      </c>
      <c r="O248" t="str">
        <f>IF(AND(G248&lt;=F248,H248&lt;=G248,I248&lt;=H248,J248&lt;=I248),"OK","Check")</f>
        <v>OK</v>
      </c>
      <c r="P248" s="6">
        <f t="shared" si="22"/>
        <v>7.7949877520256265</v>
      </c>
      <c r="Q248" s="6">
        <f t="shared" si="23"/>
        <v>18.410365499903307</v>
      </c>
      <c r="R248" s="6">
        <f t="shared" si="24"/>
        <v>45.273109243697476</v>
      </c>
      <c r="S248" s="6">
        <f t="shared" si="25"/>
        <v>43.38747099767982</v>
      </c>
      <c r="T248" s="6">
        <f t="shared" si="26"/>
        <v>1597.8654098919021</v>
      </c>
      <c r="U248" s="6">
        <f t="shared" si="27"/>
        <v>16.978654098919019</v>
      </c>
    </row>
    <row r="249" spans="1:21" x14ac:dyDescent="0.3">
      <c r="A249" s="2">
        <v>45506</v>
      </c>
      <c r="B249" t="s">
        <v>17</v>
      </c>
      <c r="C249" t="s">
        <v>22</v>
      </c>
      <c r="D249" t="s">
        <v>27</v>
      </c>
      <c r="E249" t="s">
        <v>29</v>
      </c>
      <c r="F249">
        <v>120721</v>
      </c>
      <c r="G249">
        <v>9109</v>
      </c>
      <c r="H249">
        <v>1747</v>
      </c>
      <c r="I249">
        <v>1023</v>
      </c>
      <c r="J249">
        <v>521</v>
      </c>
      <c r="K249" s="4">
        <v>75049.88</v>
      </c>
      <c r="L249" s="4">
        <v>2509324.06</v>
      </c>
      <c r="M249" t="s">
        <v>33</v>
      </c>
      <c r="N249">
        <f t="shared" si="21"/>
        <v>1</v>
      </c>
      <c r="O249" t="str">
        <f>IF(AND(G249&lt;=F249,H249&lt;=G249,I249&lt;=H249,J249&lt;=I249),"OK","Check")</f>
        <v>OK</v>
      </c>
      <c r="P249" s="6">
        <f t="shared" si="22"/>
        <v>7.5454974693715258</v>
      </c>
      <c r="Q249" s="6">
        <f t="shared" si="23"/>
        <v>19.178834120100998</v>
      </c>
      <c r="R249" s="6">
        <f t="shared" si="24"/>
        <v>58.557527189467663</v>
      </c>
      <c r="S249" s="6">
        <f t="shared" si="25"/>
        <v>50.928641251221897</v>
      </c>
      <c r="T249" s="6">
        <f t="shared" si="26"/>
        <v>3243.5417351766587</v>
      </c>
      <c r="U249" s="6">
        <f t="shared" si="27"/>
        <v>33.435417351766581</v>
      </c>
    </row>
    <row r="250" spans="1:21" x14ac:dyDescent="0.3">
      <c r="A250" s="2">
        <v>45507</v>
      </c>
      <c r="B250" t="s">
        <v>13</v>
      </c>
      <c r="C250" t="s">
        <v>18</v>
      </c>
      <c r="D250" t="s">
        <v>23</v>
      </c>
      <c r="E250" t="s">
        <v>29</v>
      </c>
      <c r="F250">
        <v>200741</v>
      </c>
      <c r="G250">
        <v>11692</v>
      </c>
      <c r="H250">
        <v>2445</v>
      </c>
      <c r="I250">
        <v>1190</v>
      </c>
      <c r="J250">
        <v>664</v>
      </c>
      <c r="K250" s="4">
        <v>136500.62</v>
      </c>
      <c r="L250" s="4">
        <v>3345576.76</v>
      </c>
      <c r="M250" t="s">
        <v>32</v>
      </c>
      <c r="N250">
        <f t="shared" si="21"/>
        <v>1</v>
      </c>
      <c r="O250" t="str">
        <f>IF(AND(G250&lt;=F250,H250&lt;=G250,I250&lt;=H250,J250&lt;=I250),"OK","Check")</f>
        <v>OK</v>
      </c>
      <c r="P250" s="6">
        <f t="shared" si="22"/>
        <v>5.8244205219661156</v>
      </c>
      <c r="Q250" s="6">
        <f t="shared" si="23"/>
        <v>20.911734519329457</v>
      </c>
      <c r="R250" s="6">
        <f t="shared" si="24"/>
        <v>48.670756646216766</v>
      </c>
      <c r="S250" s="6">
        <f t="shared" si="25"/>
        <v>55.798319327731093</v>
      </c>
      <c r="T250" s="6">
        <f t="shared" si="26"/>
        <v>2350.960852778544</v>
      </c>
      <c r="U250" s="6">
        <f t="shared" si="27"/>
        <v>24.509608527785442</v>
      </c>
    </row>
    <row r="251" spans="1:21" x14ac:dyDescent="0.3">
      <c r="A251" s="2">
        <v>45507</v>
      </c>
      <c r="B251" t="s">
        <v>17</v>
      </c>
      <c r="C251" t="s">
        <v>22</v>
      </c>
      <c r="D251" t="s">
        <v>27</v>
      </c>
      <c r="E251" t="s">
        <v>29</v>
      </c>
      <c r="F251">
        <v>208142</v>
      </c>
      <c r="G251">
        <v>16098</v>
      </c>
      <c r="H251">
        <v>3655</v>
      </c>
      <c r="I251">
        <v>2210</v>
      </c>
      <c r="J251">
        <v>1252</v>
      </c>
      <c r="K251" s="4">
        <v>141729.43</v>
      </c>
      <c r="L251" s="4">
        <v>7709099.5499999998</v>
      </c>
      <c r="M251" t="s">
        <v>31</v>
      </c>
      <c r="N251">
        <f t="shared" si="21"/>
        <v>1</v>
      </c>
      <c r="O251" t="str">
        <f>IF(AND(G251&lt;=F251,H251&lt;=G251,I251&lt;=H251,J251&lt;=I251),"OK","Check")</f>
        <v>OK</v>
      </c>
      <c r="P251" s="6">
        <f t="shared" si="22"/>
        <v>7.7341430369651496</v>
      </c>
      <c r="Q251" s="6">
        <f t="shared" si="23"/>
        <v>22.704683811653624</v>
      </c>
      <c r="R251" s="6">
        <f t="shared" si="24"/>
        <v>60.465116279069761</v>
      </c>
      <c r="S251" s="6">
        <f t="shared" si="25"/>
        <v>56.651583710407238</v>
      </c>
      <c r="T251" s="6">
        <f t="shared" si="26"/>
        <v>5339.3075242029836</v>
      </c>
      <c r="U251" s="6">
        <f t="shared" si="27"/>
        <v>54.39307524202983</v>
      </c>
    </row>
    <row r="252" spans="1:21" x14ac:dyDescent="0.3">
      <c r="A252" s="2">
        <v>45508</v>
      </c>
      <c r="B252" t="s">
        <v>13</v>
      </c>
      <c r="C252" t="s">
        <v>18</v>
      </c>
      <c r="D252" t="s">
        <v>23</v>
      </c>
      <c r="E252" t="s">
        <v>29</v>
      </c>
      <c r="F252">
        <v>62326</v>
      </c>
      <c r="G252">
        <v>2288</v>
      </c>
      <c r="H252">
        <v>416</v>
      </c>
      <c r="I252">
        <v>208</v>
      </c>
      <c r="J252">
        <v>97</v>
      </c>
      <c r="K252" s="4">
        <v>53808.35</v>
      </c>
      <c r="L252" s="4">
        <v>514275.89</v>
      </c>
      <c r="M252" t="s">
        <v>34</v>
      </c>
      <c r="N252">
        <f t="shared" si="21"/>
        <v>1</v>
      </c>
      <c r="O252" t="str">
        <f>IF(AND(G252&lt;=F252,H252&lt;=G252,I252&lt;=H252,J252&lt;=I252),"OK","Check")</f>
        <v>OK</v>
      </c>
      <c r="P252" s="6">
        <f t="shared" si="22"/>
        <v>3.6710201200141195</v>
      </c>
      <c r="Q252" s="6">
        <f t="shared" si="23"/>
        <v>18.181818181818183</v>
      </c>
      <c r="R252" s="6">
        <f t="shared" si="24"/>
        <v>50</v>
      </c>
      <c r="S252" s="6">
        <f t="shared" si="25"/>
        <v>46.634615384615387</v>
      </c>
      <c r="T252" s="6">
        <f t="shared" si="26"/>
        <v>855.75480385479204</v>
      </c>
      <c r="U252" s="6">
        <f t="shared" si="27"/>
        <v>9.557548038547921</v>
      </c>
    </row>
    <row r="253" spans="1:21" x14ac:dyDescent="0.3">
      <c r="A253" s="2">
        <v>45508</v>
      </c>
      <c r="B253" t="s">
        <v>17</v>
      </c>
      <c r="C253" t="s">
        <v>22</v>
      </c>
      <c r="D253" t="s">
        <v>27</v>
      </c>
      <c r="E253" t="s">
        <v>28</v>
      </c>
      <c r="F253">
        <v>60178</v>
      </c>
      <c r="G253">
        <v>3164</v>
      </c>
      <c r="H253">
        <v>594</v>
      </c>
      <c r="I253">
        <v>300</v>
      </c>
      <c r="J253">
        <v>141</v>
      </c>
      <c r="K253" s="4">
        <v>36780.379999999997</v>
      </c>
      <c r="L253" s="4">
        <v>638055.97</v>
      </c>
      <c r="M253" t="s">
        <v>35</v>
      </c>
      <c r="N253">
        <f t="shared" si="21"/>
        <v>1</v>
      </c>
      <c r="O253" t="str">
        <f>IF(AND(G253&lt;=F253,H253&lt;=G253,I253&lt;=H253,J253&lt;=I253),"OK","Check")</f>
        <v>OK</v>
      </c>
      <c r="P253" s="6">
        <f t="shared" si="22"/>
        <v>5.2577353850244277</v>
      </c>
      <c r="Q253" s="6">
        <f t="shared" si="23"/>
        <v>18.773704171934259</v>
      </c>
      <c r="R253" s="6">
        <f t="shared" si="24"/>
        <v>50.505050505050505</v>
      </c>
      <c r="S253" s="6">
        <f t="shared" si="25"/>
        <v>47</v>
      </c>
      <c r="T253" s="6">
        <f t="shared" si="26"/>
        <v>1634.772642370742</v>
      </c>
      <c r="U253" s="6">
        <f t="shared" si="27"/>
        <v>17.347726423707424</v>
      </c>
    </row>
    <row r="254" spans="1:21" x14ac:dyDescent="0.3">
      <c r="A254" s="2">
        <v>45509</v>
      </c>
      <c r="B254" t="s">
        <v>13</v>
      </c>
      <c r="C254" t="s">
        <v>18</v>
      </c>
      <c r="D254" t="s">
        <v>23</v>
      </c>
      <c r="E254" t="s">
        <v>29</v>
      </c>
      <c r="F254">
        <v>105561</v>
      </c>
      <c r="G254">
        <v>6091</v>
      </c>
      <c r="H254">
        <v>1210</v>
      </c>
      <c r="I254">
        <v>657</v>
      </c>
      <c r="J254">
        <v>361</v>
      </c>
      <c r="K254" s="4">
        <v>58132.88</v>
      </c>
      <c r="L254" s="4">
        <v>1085319.27</v>
      </c>
      <c r="M254" t="s">
        <v>32</v>
      </c>
      <c r="N254">
        <f t="shared" si="21"/>
        <v>1</v>
      </c>
      <c r="O254" t="str">
        <f>IF(AND(G254&lt;=F254,H254&lt;=G254,I254&lt;=H254,J254&lt;=I254),"OK","Check")</f>
        <v>OK</v>
      </c>
      <c r="P254" s="6">
        <f t="shared" si="22"/>
        <v>5.7701234357385776</v>
      </c>
      <c r="Q254" s="6">
        <f t="shared" si="23"/>
        <v>19.865375143654575</v>
      </c>
      <c r="R254" s="6">
        <f t="shared" si="24"/>
        <v>54.29752066115703</v>
      </c>
      <c r="S254" s="6">
        <f t="shared" si="25"/>
        <v>54.946727549467276</v>
      </c>
      <c r="T254" s="6">
        <f t="shared" si="26"/>
        <v>1766.9628444350255</v>
      </c>
      <c r="U254" s="6">
        <f t="shared" si="27"/>
        <v>18.669628444350256</v>
      </c>
    </row>
    <row r="255" spans="1:21" x14ac:dyDescent="0.3">
      <c r="A255" s="2">
        <v>45509</v>
      </c>
      <c r="B255" t="s">
        <v>17</v>
      </c>
      <c r="C255" t="s">
        <v>22</v>
      </c>
      <c r="D255" t="s">
        <v>27</v>
      </c>
      <c r="E255" t="s">
        <v>29</v>
      </c>
      <c r="F255">
        <v>108128</v>
      </c>
      <c r="G255">
        <v>4562</v>
      </c>
      <c r="H255">
        <v>1033</v>
      </c>
      <c r="I255">
        <v>586</v>
      </c>
      <c r="J255">
        <v>260</v>
      </c>
      <c r="K255" s="4">
        <v>58193.29</v>
      </c>
      <c r="L255" s="4">
        <v>1634560.79</v>
      </c>
      <c r="M255" t="s">
        <v>32</v>
      </c>
      <c r="N255">
        <f t="shared" si="21"/>
        <v>1</v>
      </c>
      <c r="O255" t="str">
        <f>IF(AND(G255&lt;=F255,H255&lt;=G255,I255&lt;=H255,J255&lt;=I255),"OK","Check")</f>
        <v>OK</v>
      </c>
      <c r="P255" s="6">
        <f t="shared" si="22"/>
        <v>4.2190736904409585</v>
      </c>
      <c r="Q255" s="6">
        <f t="shared" si="23"/>
        <v>22.643577378342833</v>
      </c>
      <c r="R255" s="6">
        <f t="shared" si="24"/>
        <v>56.727976766698937</v>
      </c>
      <c r="S255" s="6">
        <f t="shared" si="25"/>
        <v>44.368600682593858</v>
      </c>
      <c r="T255" s="6">
        <f t="shared" si="26"/>
        <v>2708.8475320780108</v>
      </c>
      <c r="U255" s="6">
        <f t="shared" si="27"/>
        <v>28.088475320780113</v>
      </c>
    </row>
    <row r="256" spans="1:21" x14ac:dyDescent="0.3">
      <c r="A256" s="2">
        <v>45510</v>
      </c>
      <c r="B256" t="s">
        <v>13</v>
      </c>
      <c r="C256" t="s">
        <v>18</v>
      </c>
      <c r="D256" t="s">
        <v>23</v>
      </c>
      <c r="E256" t="s">
        <v>29</v>
      </c>
      <c r="F256">
        <v>96715</v>
      </c>
      <c r="G256">
        <v>4883</v>
      </c>
      <c r="H256">
        <v>1120</v>
      </c>
      <c r="I256">
        <v>538</v>
      </c>
      <c r="J256">
        <v>232</v>
      </c>
      <c r="K256" s="4">
        <v>43537.41</v>
      </c>
      <c r="L256" s="4">
        <v>1813996.79</v>
      </c>
      <c r="M256" t="s">
        <v>35</v>
      </c>
      <c r="N256">
        <f t="shared" si="21"/>
        <v>1</v>
      </c>
      <c r="O256" t="str">
        <f>IF(AND(G256&lt;=F256,H256&lt;=G256,I256&lt;=H256,J256&lt;=I256),"OK","Check")</f>
        <v>OK</v>
      </c>
      <c r="P256" s="6">
        <f t="shared" si="22"/>
        <v>5.0488548829033757</v>
      </c>
      <c r="Q256" s="6">
        <f t="shared" si="23"/>
        <v>22.93671922998157</v>
      </c>
      <c r="R256" s="6">
        <f t="shared" si="24"/>
        <v>48.035714285714285</v>
      </c>
      <c r="S256" s="6">
        <f t="shared" si="25"/>
        <v>43.122676579925653</v>
      </c>
      <c r="T256" s="6">
        <f t="shared" si="26"/>
        <v>4066.5243522754336</v>
      </c>
      <c r="U256" s="6">
        <f t="shared" si="27"/>
        <v>41.665243522754338</v>
      </c>
    </row>
    <row r="257" spans="1:21" x14ac:dyDescent="0.3">
      <c r="A257" s="2">
        <v>45510</v>
      </c>
      <c r="B257" t="s">
        <v>17</v>
      </c>
      <c r="C257" t="s">
        <v>22</v>
      </c>
      <c r="D257" t="s">
        <v>27</v>
      </c>
      <c r="E257" t="s">
        <v>30</v>
      </c>
      <c r="F257">
        <v>99786</v>
      </c>
      <c r="G257">
        <v>4538</v>
      </c>
      <c r="H257">
        <v>843</v>
      </c>
      <c r="I257">
        <v>475</v>
      </c>
      <c r="J257">
        <v>270</v>
      </c>
      <c r="K257" s="4">
        <v>86472.87</v>
      </c>
      <c r="L257" s="4">
        <v>1992669.9</v>
      </c>
      <c r="M257" t="s">
        <v>33</v>
      </c>
      <c r="N257">
        <f t="shared" si="21"/>
        <v>1</v>
      </c>
      <c r="O257" t="str">
        <f>IF(AND(G257&lt;=F257,H257&lt;=G257,I257&lt;=H257,J257&lt;=I257),"OK","Check")</f>
        <v>OK</v>
      </c>
      <c r="P257" s="6">
        <f t="shared" si="22"/>
        <v>4.5477321467941394</v>
      </c>
      <c r="Q257" s="6">
        <f t="shared" si="23"/>
        <v>18.576465403261349</v>
      </c>
      <c r="R257" s="6">
        <f t="shared" si="24"/>
        <v>56.346381969157768</v>
      </c>
      <c r="S257" s="6">
        <f t="shared" si="25"/>
        <v>56.84210526315789</v>
      </c>
      <c r="T257" s="6">
        <f t="shared" si="26"/>
        <v>2204.3873760637293</v>
      </c>
      <c r="U257" s="6">
        <f t="shared" si="27"/>
        <v>23.043873760637297</v>
      </c>
    </row>
    <row r="258" spans="1:21" x14ac:dyDescent="0.3">
      <c r="A258" s="2">
        <v>45511</v>
      </c>
      <c r="B258" t="s">
        <v>13</v>
      </c>
      <c r="C258" t="s">
        <v>18</v>
      </c>
      <c r="D258" t="s">
        <v>23</v>
      </c>
      <c r="E258" t="s">
        <v>29</v>
      </c>
      <c r="F258">
        <v>297887</v>
      </c>
      <c r="G258">
        <v>19916</v>
      </c>
      <c r="H258">
        <v>3329</v>
      </c>
      <c r="I258">
        <v>2125</v>
      </c>
      <c r="J258">
        <v>936</v>
      </c>
      <c r="K258" s="4">
        <v>270727.95</v>
      </c>
      <c r="L258" s="4">
        <v>2895011.75</v>
      </c>
      <c r="M258" t="s">
        <v>34</v>
      </c>
      <c r="N258">
        <f t="shared" si="21"/>
        <v>1</v>
      </c>
      <c r="O258" t="str">
        <f>IF(AND(G258&lt;=F258,H258&lt;=G258,I258&lt;=H258,J258&lt;=I258),"OK","Check")</f>
        <v>OK</v>
      </c>
      <c r="P258" s="6">
        <f t="shared" si="22"/>
        <v>6.6857566795462704</v>
      </c>
      <c r="Q258" s="6">
        <f t="shared" si="23"/>
        <v>16.715203856196023</v>
      </c>
      <c r="R258" s="6">
        <f t="shared" si="24"/>
        <v>63.83298287774106</v>
      </c>
      <c r="S258" s="6">
        <f t="shared" si="25"/>
        <v>44.047058823529412</v>
      </c>
      <c r="T258" s="6">
        <f t="shared" si="26"/>
        <v>969.34350516819552</v>
      </c>
      <c r="U258" s="6">
        <f t="shared" si="27"/>
        <v>10.693435051681956</v>
      </c>
    </row>
    <row r="259" spans="1:21" x14ac:dyDescent="0.3">
      <c r="A259" s="2">
        <v>45511</v>
      </c>
      <c r="B259" t="s">
        <v>17</v>
      </c>
      <c r="C259" t="s">
        <v>22</v>
      </c>
      <c r="D259" t="s">
        <v>27</v>
      </c>
      <c r="E259" t="s">
        <v>29</v>
      </c>
      <c r="F259">
        <v>54376</v>
      </c>
      <c r="G259">
        <v>2198</v>
      </c>
      <c r="H259">
        <v>530</v>
      </c>
      <c r="I259">
        <v>240</v>
      </c>
      <c r="J259">
        <v>98</v>
      </c>
      <c r="K259" s="4">
        <v>48889.03</v>
      </c>
      <c r="L259" s="4">
        <v>404235.06</v>
      </c>
      <c r="M259" t="s">
        <v>31</v>
      </c>
      <c r="N259">
        <f t="shared" ref="N259:N322" si="28">COUNTIFS(A:A,A259,B:B,B259,C:C,C259,D:D,D259,E:E,E259,F:F,F259,G:G,G259,H:H,H259,I:I,I259,J:J,J259,K:K,K259,L:L,L259,M:M,M259)</f>
        <v>1</v>
      </c>
      <c r="O259" t="str">
        <f>IF(AND(G259&lt;=F259,H259&lt;=G259,I259&lt;=H259,J259&lt;=I259),"OK","Check")</f>
        <v>OK</v>
      </c>
      <c r="P259" s="6">
        <f t="shared" ref="P259:P322" si="29">IFERROR(G259/F259*100,0)</f>
        <v>4.0422245108135941</v>
      </c>
      <c r="Q259" s="6">
        <f t="shared" ref="Q259:Q322" si="30">IFERROR(H259/G259*100,0)</f>
        <v>24.112829845313922</v>
      </c>
      <c r="R259" s="6">
        <f t="shared" ref="R259:R322" si="31">IFERROR(I259/H259*100,0)</f>
        <v>45.283018867924532</v>
      </c>
      <c r="S259" s="6">
        <f t="shared" ref="S259:S322" si="32">IFERROR(J259/I259*100,0)</f>
        <v>40.833333333333336</v>
      </c>
      <c r="T259" s="6">
        <f t="shared" ref="T259:T322" si="33">IFERROR((L259-K259)/K259*100,0)</f>
        <v>726.84205434225225</v>
      </c>
      <c r="U259" s="6">
        <f t="shared" ref="U259:U322" si="34">IFERROR(L259/K259,0)</f>
        <v>8.268420543422522</v>
      </c>
    </row>
    <row r="260" spans="1:21" x14ac:dyDescent="0.3">
      <c r="A260" s="2">
        <v>45512</v>
      </c>
      <c r="B260" t="s">
        <v>13</v>
      </c>
      <c r="C260" t="s">
        <v>18</v>
      </c>
      <c r="D260" t="s">
        <v>23</v>
      </c>
      <c r="E260" t="s">
        <v>29</v>
      </c>
      <c r="F260">
        <v>88036</v>
      </c>
      <c r="G260">
        <v>3843</v>
      </c>
      <c r="H260">
        <v>807</v>
      </c>
      <c r="I260">
        <v>511</v>
      </c>
      <c r="J260">
        <v>208</v>
      </c>
      <c r="K260" s="4">
        <v>69666.14</v>
      </c>
      <c r="L260" s="4">
        <v>1270694.45</v>
      </c>
      <c r="M260" t="s">
        <v>31</v>
      </c>
      <c r="N260">
        <f t="shared" si="28"/>
        <v>1</v>
      </c>
      <c r="O260" t="str">
        <f>IF(AND(G260&lt;=F260,H260&lt;=G260,I260&lt;=H260,J260&lt;=I260),"OK","Check")</f>
        <v>OK</v>
      </c>
      <c r="P260" s="6">
        <f t="shared" si="29"/>
        <v>4.3652596665000685</v>
      </c>
      <c r="Q260" s="6">
        <f t="shared" si="30"/>
        <v>20.999219359875099</v>
      </c>
      <c r="R260" s="6">
        <f t="shared" si="31"/>
        <v>63.320941759603464</v>
      </c>
      <c r="S260" s="6">
        <f t="shared" si="32"/>
        <v>40.704500978473575</v>
      </c>
      <c r="T260" s="6">
        <f t="shared" si="33"/>
        <v>1723.977114276749</v>
      </c>
      <c r="U260" s="6">
        <f t="shared" si="34"/>
        <v>18.239771142767491</v>
      </c>
    </row>
    <row r="261" spans="1:21" x14ac:dyDescent="0.3">
      <c r="A261" s="2">
        <v>45512</v>
      </c>
      <c r="B261" t="s">
        <v>17</v>
      </c>
      <c r="C261" t="s">
        <v>22</v>
      </c>
      <c r="D261" t="s">
        <v>27</v>
      </c>
      <c r="E261" t="s">
        <v>29</v>
      </c>
      <c r="F261">
        <v>276523</v>
      </c>
      <c r="G261">
        <v>11747</v>
      </c>
      <c r="H261">
        <v>1913</v>
      </c>
      <c r="I261">
        <v>1099</v>
      </c>
      <c r="J261">
        <v>451</v>
      </c>
      <c r="K261" s="4">
        <v>112550.84</v>
      </c>
      <c r="L261" s="4">
        <v>3062511.38</v>
      </c>
      <c r="M261" t="s">
        <v>34</v>
      </c>
      <c r="N261">
        <f t="shared" si="28"/>
        <v>1</v>
      </c>
      <c r="O261" t="str">
        <f>IF(AND(G261&lt;=F261,H261&lt;=G261,I261&lt;=H261,J261&lt;=I261),"OK","Check")</f>
        <v>OK</v>
      </c>
      <c r="P261" s="6">
        <f t="shared" si="29"/>
        <v>4.2481095605067205</v>
      </c>
      <c r="Q261" s="6">
        <f t="shared" si="30"/>
        <v>16.285008938452371</v>
      </c>
      <c r="R261" s="6">
        <f t="shared" si="31"/>
        <v>57.449032932566645</v>
      </c>
      <c r="S261" s="6">
        <f t="shared" si="32"/>
        <v>41.037306642402186</v>
      </c>
      <c r="T261" s="6">
        <f t="shared" si="33"/>
        <v>2621.0026864304168</v>
      </c>
      <c r="U261" s="6">
        <f t="shared" si="34"/>
        <v>27.210026864304165</v>
      </c>
    </row>
    <row r="262" spans="1:21" x14ac:dyDescent="0.3">
      <c r="A262" s="2">
        <v>45513</v>
      </c>
      <c r="B262" t="s">
        <v>13</v>
      </c>
      <c r="C262" t="s">
        <v>18</v>
      </c>
      <c r="D262" t="s">
        <v>23</v>
      </c>
      <c r="E262" t="s">
        <v>29</v>
      </c>
      <c r="F262">
        <v>61270</v>
      </c>
      <c r="G262">
        <v>3608</v>
      </c>
      <c r="H262">
        <v>771</v>
      </c>
      <c r="I262">
        <v>487</v>
      </c>
      <c r="J262">
        <v>203</v>
      </c>
      <c r="K262" s="4">
        <v>48486.67</v>
      </c>
      <c r="L262" s="4">
        <v>1016705.47</v>
      </c>
      <c r="M262" t="s">
        <v>32</v>
      </c>
      <c r="N262">
        <f t="shared" si="28"/>
        <v>1</v>
      </c>
      <c r="O262" t="str">
        <f>IF(AND(G262&lt;=F262,H262&lt;=G262,I262&lt;=H262,J262&lt;=I262),"OK","Check")</f>
        <v>OK</v>
      </c>
      <c r="P262" s="6">
        <f t="shared" si="29"/>
        <v>5.8886894075403946</v>
      </c>
      <c r="Q262" s="6">
        <f t="shared" si="30"/>
        <v>21.369179600886916</v>
      </c>
      <c r="R262" s="6">
        <f t="shared" si="31"/>
        <v>63.164721141374834</v>
      </c>
      <c r="S262" s="6">
        <f t="shared" si="32"/>
        <v>41.683778234086247</v>
      </c>
      <c r="T262" s="6">
        <f t="shared" si="33"/>
        <v>1996.8762548552004</v>
      </c>
      <c r="U262" s="6">
        <f t="shared" si="34"/>
        <v>20.968762548552004</v>
      </c>
    </row>
    <row r="263" spans="1:21" x14ac:dyDescent="0.3">
      <c r="A263" s="2">
        <v>45513</v>
      </c>
      <c r="B263" t="s">
        <v>17</v>
      </c>
      <c r="C263" t="s">
        <v>22</v>
      </c>
      <c r="D263" t="s">
        <v>27</v>
      </c>
      <c r="E263" t="s">
        <v>30</v>
      </c>
      <c r="F263">
        <v>175935</v>
      </c>
      <c r="G263">
        <v>8558</v>
      </c>
      <c r="H263">
        <v>1832</v>
      </c>
      <c r="I263">
        <v>1035</v>
      </c>
      <c r="J263">
        <v>601</v>
      </c>
      <c r="K263" s="4">
        <v>163462.72</v>
      </c>
      <c r="L263" s="4">
        <v>2873827.39</v>
      </c>
      <c r="M263" t="s">
        <v>35</v>
      </c>
      <c r="N263">
        <f t="shared" si="28"/>
        <v>1</v>
      </c>
      <c r="O263" t="str">
        <f>IF(AND(G263&lt;=F263,H263&lt;=G263,I263&lt;=H263,J263&lt;=I263),"OK","Check")</f>
        <v>OK</v>
      </c>
      <c r="P263" s="6">
        <f t="shared" si="29"/>
        <v>4.864296473129281</v>
      </c>
      <c r="Q263" s="6">
        <f t="shared" si="30"/>
        <v>21.40687076419724</v>
      </c>
      <c r="R263" s="6">
        <f t="shared" si="31"/>
        <v>56.495633187772931</v>
      </c>
      <c r="S263" s="6">
        <f t="shared" si="32"/>
        <v>58.067632850241544</v>
      </c>
      <c r="T263" s="6">
        <f t="shared" si="33"/>
        <v>1658.0934600868013</v>
      </c>
      <c r="U263" s="6">
        <f t="shared" si="34"/>
        <v>17.580934600868016</v>
      </c>
    </row>
    <row r="264" spans="1:21" x14ac:dyDescent="0.3">
      <c r="A264" s="2">
        <v>45514</v>
      </c>
      <c r="B264" t="s">
        <v>13</v>
      </c>
      <c r="C264" t="s">
        <v>18</v>
      </c>
      <c r="D264" t="s">
        <v>23</v>
      </c>
      <c r="E264" t="s">
        <v>29</v>
      </c>
      <c r="F264">
        <v>270202</v>
      </c>
      <c r="G264">
        <v>19267</v>
      </c>
      <c r="H264">
        <v>3864</v>
      </c>
      <c r="I264">
        <v>1957</v>
      </c>
      <c r="J264">
        <v>1169</v>
      </c>
      <c r="K264" s="4">
        <v>132916.07999999999</v>
      </c>
      <c r="L264" s="4">
        <v>5811867.04</v>
      </c>
      <c r="M264" t="s">
        <v>31</v>
      </c>
      <c r="N264">
        <f t="shared" si="28"/>
        <v>1</v>
      </c>
      <c r="O264" t="str">
        <f>IF(AND(G264&lt;=F264,H264&lt;=G264,I264&lt;=H264,J264&lt;=I264),"OK","Check")</f>
        <v>OK</v>
      </c>
      <c r="P264" s="6">
        <f t="shared" si="29"/>
        <v>7.1305911873339207</v>
      </c>
      <c r="Q264" s="6">
        <f t="shared" si="30"/>
        <v>20.055016349198109</v>
      </c>
      <c r="R264" s="6">
        <f t="shared" si="31"/>
        <v>50.646997929606627</v>
      </c>
      <c r="S264" s="6">
        <f t="shared" si="32"/>
        <v>59.73428717424629</v>
      </c>
      <c r="T264" s="6">
        <f t="shared" si="33"/>
        <v>4272.5838438810424</v>
      </c>
      <c r="U264" s="6">
        <f t="shared" si="34"/>
        <v>43.72583843881042</v>
      </c>
    </row>
    <row r="265" spans="1:21" x14ac:dyDescent="0.3">
      <c r="A265" s="2">
        <v>45514</v>
      </c>
      <c r="B265" t="s">
        <v>17</v>
      </c>
      <c r="C265" t="s">
        <v>22</v>
      </c>
      <c r="D265" t="s">
        <v>27</v>
      </c>
      <c r="E265" t="s">
        <v>29</v>
      </c>
      <c r="F265">
        <v>70308</v>
      </c>
      <c r="G265">
        <v>4870</v>
      </c>
      <c r="H265">
        <v>930</v>
      </c>
      <c r="I265">
        <v>492</v>
      </c>
      <c r="J265">
        <v>251</v>
      </c>
      <c r="K265" s="4">
        <v>51723.19</v>
      </c>
      <c r="L265" s="4">
        <v>1262103.52</v>
      </c>
      <c r="M265" t="s">
        <v>32</v>
      </c>
      <c r="N265">
        <f t="shared" si="28"/>
        <v>1</v>
      </c>
      <c r="O265" t="str">
        <f>IF(AND(G265&lt;=F265,H265&lt;=G265,I265&lt;=H265,J265&lt;=I265),"OK","Check")</f>
        <v>OK</v>
      </c>
      <c r="P265" s="6">
        <f t="shared" si="29"/>
        <v>6.9266655288160655</v>
      </c>
      <c r="Q265" s="6">
        <f t="shared" si="30"/>
        <v>19.096509240246405</v>
      </c>
      <c r="R265" s="6">
        <f t="shared" si="31"/>
        <v>52.903225806451616</v>
      </c>
      <c r="S265" s="6">
        <f t="shared" si="32"/>
        <v>51.016260162601625</v>
      </c>
      <c r="T265" s="6">
        <f t="shared" si="33"/>
        <v>2340.1115244438715</v>
      </c>
      <c r="U265" s="6">
        <f t="shared" si="34"/>
        <v>24.401115244438714</v>
      </c>
    </row>
    <row r="266" spans="1:21" x14ac:dyDescent="0.3">
      <c r="A266" s="2">
        <v>45515</v>
      </c>
      <c r="B266" t="s">
        <v>13</v>
      </c>
      <c r="C266" t="s">
        <v>18</v>
      </c>
      <c r="D266" t="s">
        <v>23</v>
      </c>
      <c r="E266" t="s">
        <v>29</v>
      </c>
      <c r="F266">
        <v>206790</v>
      </c>
      <c r="G266">
        <v>15329</v>
      </c>
      <c r="H266">
        <v>3569</v>
      </c>
      <c r="I266">
        <v>2038</v>
      </c>
      <c r="J266">
        <v>1076</v>
      </c>
      <c r="K266" s="4">
        <v>151435.23000000001</v>
      </c>
      <c r="L266" s="4">
        <v>8479988.8300000001</v>
      </c>
      <c r="M266" t="s">
        <v>32</v>
      </c>
      <c r="N266">
        <f t="shared" si="28"/>
        <v>1</v>
      </c>
      <c r="O266" t="str">
        <f>IF(AND(G266&lt;=F266,H266&lt;=G266,I266&lt;=H266,J266&lt;=I266),"OK","Check")</f>
        <v>OK</v>
      </c>
      <c r="P266" s="6">
        <f t="shared" si="29"/>
        <v>7.4128342763189705</v>
      </c>
      <c r="Q266" s="6">
        <f t="shared" si="30"/>
        <v>23.282666840628874</v>
      </c>
      <c r="R266" s="6">
        <f t="shared" si="31"/>
        <v>57.102829924348555</v>
      </c>
      <c r="S266" s="6">
        <f t="shared" si="32"/>
        <v>52.796859666339543</v>
      </c>
      <c r="T266" s="6">
        <f t="shared" si="33"/>
        <v>5499.746393226992</v>
      </c>
      <c r="U266" s="6">
        <f t="shared" si="34"/>
        <v>55.997463932269916</v>
      </c>
    </row>
    <row r="267" spans="1:21" x14ac:dyDescent="0.3">
      <c r="A267" s="2">
        <v>45515</v>
      </c>
      <c r="B267" t="s">
        <v>17</v>
      </c>
      <c r="C267" t="s">
        <v>22</v>
      </c>
      <c r="D267" t="s">
        <v>27</v>
      </c>
      <c r="E267" t="s">
        <v>30</v>
      </c>
      <c r="F267">
        <v>239465</v>
      </c>
      <c r="G267">
        <v>10006</v>
      </c>
      <c r="H267">
        <v>1533</v>
      </c>
      <c r="I267">
        <v>767</v>
      </c>
      <c r="J267">
        <v>445</v>
      </c>
      <c r="K267" s="4">
        <v>119177.15</v>
      </c>
      <c r="L267" s="4">
        <v>3554173.67</v>
      </c>
      <c r="M267" t="s">
        <v>33</v>
      </c>
      <c r="N267">
        <f t="shared" si="28"/>
        <v>1</v>
      </c>
      <c r="O267" t="str">
        <f>IF(AND(G267&lt;=F267,H267&lt;=G267,I267&lt;=H267,J267&lt;=I267),"OK","Check")</f>
        <v>OK</v>
      </c>
      <c r="P267" s="6">
        <f t="shared" si="29"/>
        <v>4.1784811976698055</v>
      </c>
      <c r="Q267" s="6">
        <f t="shared" si="30"/>
        <v>15.320807515490706</v>
      </c>
      <c r="R267" s="6">
        <f t="shared" si="31"/>
        <v>50.032615786040445</v>
      </c>
      <c r="S267" s="6">
        <f t="shared" si="32"/>
        <v>58.018252933507178</v>
      </c>
      <c r="T267" s="6">
        <f t="shared" si="33"/>
        <v>2882.2610038921052</v>
      </c>
      <c r="U267" s="6">
        <f t="shared" si="34"/>
        <v>29.822610038921052</v>
      </c>
    </row>
    <row r="268" spans="1:21" x14ac:dyDescent="0.3">
      <c r="A268" s="2">
        <v>45516</v>
      </c>
      <c r="B268" t="s">
        <v>13</v>
      </c>
      <c r="C268" t="s">
        <v>18</v>
      </c>
      <c r="D268" t="s">
        <v>23</v>
      </c>
      <c r="E268" t="s">
        <v>29</v>
      </c>
      <c r="F268">
        <v>143259</v>
      </c>
      <c r="G268">
        <v>4765</v>
      </c>
      <c r="H268">
        <v>1041</v>
      </c>
      <c r="I268">
        <v>609</v>
      </c>
      <c r="J268">
        <v>246</v>
      </c>
      <c r="K268" s="4">
        <v>103534</v>
      </c>
      <c r="L268" s="4">
        <v>1950084.07</v>
      </c>
      <c r="M268" t="s">
        <v>31</v>
      </c>
      <c r="N268">
        <f t="shared" si="28"/>
        <v>1</v>
      </c>
      <c r="O268" t="str">
        <f>IF(AND(G268&lt;=F268,H268&lt;=G268,I268&lt;=H268,J268&lt;=I268),"OK","Check")</f>
        <v>OK</v>
      </c>
      <c r="P268" s="6">
        <f t="shared" si="29"/>
        <v>3.3261435581708652</v>
      </c>
      <c r="Q268" s="6">
        <f t="shared" si="30"/>
        <v>21.846799580272823</v>
      </c>
      <c r="R268" s="6">
        <f t="shared" si="31"/>
        <v>58.501440922190206</v>
      </c>
      <c r="S268" s="6">
        <f t="shared" si="32"/>
        <v>40.39408866995074</v>
      </c>
      <c r="T268" s="6">
        <f t="shared" si="33"/>
        <v>1783.5204570479264</v>
      </c>
      <c r="U268" s="6">
        <f t="shared" si="34"/>
        <v>18.835204570479263</v>
      </c>
    </row>
    <row r="269" spans="1:21" x14ac:dyDescent="0.3">
      <c r="A269" s="2">
        <v>45516</v>
      </c>
      <c r="B269" t="s">
        <v>17</v>
      </c>
      <c r="C269" t="s">
        <v>22</v>
      </c>
      <c r="D269" t="s">
        <v>27</v>
      </c>
      <c r="E269" t="s">
        <v>30</v>
      </c>
      <c r="F269">
        <v>60504</v>
      </c>
      <c r="G269">
        <v>2239</v>
      </c>
      <c r="H269">
        <v>539</v>
      </c>
      <c r="I269">
        <v>322</v>
      </c>
      <c r="J269">
        <v>184</v>
      </c>
      <c r="K269" s="4">
        <v>54506.92</v>
      </c>
      <c r="L269" s="4">
        <v>1051156.08</v>
      </c>
      <c r="M269" t="s">
        <v>31</v>
      </c>
      <c r="N269">
        <f t="shared" si="28"/>
        <v>1</v>
      </c>
      <c r="O269" t="str">
        <f>IF(AND(G269&lt;=F269,H269&lt;=G269,I269&lt;=H269,J269&lt;=I269),"OK","Check")</f>
        <v>OK</v>
      </c>
      <c r="P269" s="6">
        <f t="shared" si="29"/>
        <v>3.7005817797170435</v>
      </c>
      <c r="Q269" s="6">
        <f t="shared" si="30"/>
        <v>24.073246985261278</v>
      </c>
      <c r="R269" s="6">
        <f t="shared" si="31"/>
        <v>59.740259740259738</v>
      </c>
      <c r="S269" s="6">
        <f t="shared" si="32"/>
        <v>57.142857142857139</v>
      </c>
      <c r="T269" s="6">
        <f t="shared" si="33"/>
        <v>1828.4818881712636</v>
      </c>
      <c r="U269" s="6">
        <f t="shared" si="34"/>
        <v>19.284818881712635</v>
      </c>
    </row>
    <row r="270" spans="1:21" x14ac:dyDescent="0.3">
      <c r="A270" s="2">
        <v>45517</v>
      </c>
      <c r="B270" t="s">
        <v>13</v>
      </c>
      <c r="C270" t="s">
        <v>18</v>
      </c>
      <c r="D270" t="s">
        <v>23</v>
      </c>
      <c r="E270" t="s">
        <v>29</v>
      </c>
      <c r="F270">
        <v>203962</v>
      </c>
      <c r="G270">
        <v>9650</v>
      </c>
      <c r="H270">
        <v>2394</v>
      </c>
      <c r="I270">
        <v>1402</v>
      </c>
      <c r="J270">
        <v>591</v>
      </c>
      <c r="K270" s="4">
        <v>143265.17000000001</v>
      </c>
      <c r="L270" s="4">
        <v>2808713.52</v>
      </c>
      <c r="M270" t="s">
        <v>33</v>
      </c>
      <c r="N270">
        <f t="shared" si="28"/>
        <v>1</v>
      </c>
      <c r="O270" t="str">
        <f>IF(AND(G270&lt;=F270,H270&lt;=G270,I270&lt;=H270,J270&lt;=I270),"OK","Check")</f>
        <v>OK</v>
      </c>
      <c r="P270" s="6">
        <f t="shared" si="29"/>
        <v>4.7312734725095851</v>
      </c>
      <c r="Q270" s="6">
        <f t="shared" si="30"/>
        <v>24.808290155440417</v>
      </c>
      <c r="R270" s="6">
        <f t="shared" si="31"/>
        <v>58.563074352548043</v>
      </c>
      <c r="S270" s="6">
        <f t="shared" si="32"/>
        <v>42.154065620542077</v>
      </c>
      <c r="T270" s="6">
        <f t="shared" si="33"/>
        <v>1860.4999037798229</v>
      </c>
      <c r="U270" s="6">
        <f t="shared" si="34"/>
        <v>19.60499903779823</v>
      </c>
    </row>
    <row r="271" spans="1:21" x14ac:dyDescent="0.3">
      <c r="A271" s="2">
        <v>45517</v>
      </c>
      <c r="B271" t="s">
        <v>17</v>
      </c>
      <c r="C271" t="s">
        <v>22</v>
      </c>
      <c r="D271" t="s">
        <v>27</v>
      </c>
      <c r="E271" t="s">
        <v>29</v>
      </c>
      <c r="F271">
        <v>140195</v>
      </c>
      <c r="G271">
        <v>9654</v>
      </c>
      <c r="H271">
        <v>1913</v>
      </c>
      <c r="I271">
        <v>1044</v>
      </c>
      <c r="J271">
        <v>524</v>
      </c>
      <c r="K271" s="4">
        <v>78718.460000000006</v>
      </c>
      <c r="L271" s="4">
        <v>3267340.14</v>
      </c>
      <c r="M271" t="s">
        <v>34</v>
      </c>
      <c r="N271">
        <f t="shared" si="28"/>
        <v>1</v>
      </c>
      <c r="O271" t="str">
        <f>IF(AND(G271&lt;=F271,H271&lt;=G271,I271&lt;=H271,J271&lt;=I271),"OK","Check")</f>
        <v>OK</v>
      </c>
      <c r="P271" s="6">
        <f t="shared" si="29"/>
        <v>6.886122900246086</v>
      </c>
      <c r="Q271" s="6">
        <f t="shared" si="30"/>
        <v>19.815620468199711</v>
      </c>
      <c r="R271" s="6">
        <f t="shared" si="31"/>
        <v>54.573967590172501</v>
      </c>
      <c r="S271" s="6">
        <f t="shared" si="32"/>
        <v>50.191570881226056</v>
      </c>
      <c r="T271" s="6">
        <f t="shared" si="33"/>
        <v>4050.6657269463858</v>
      </c>
      <c r="U271" s="6">
        <f t="shared" si="34"/>
        <v>41.506657269463858</v>
      </c>
    </row>
    <row r="272" spans="1:21" x14ac:dyDescent="0.3">
      <c r="A272" s="2">
        <v>45518</v>
      </c>
      <c r="B272" t="s">
        <v>13</v>
      </c>
      <c r="C272" t="s">
        <v>18</v>
      </c>
      <c r="D272" t="s">
        <v>23</v>
      </c>
      <c r="E272" t="s">
        <v>29</v>
      </c>
      <c r="F272">
        <v>93684</v>
      </c>
      <c r="G272">
        <v>5805</v>
      </c>
      <c r="H272">
        <v>1305</v>
      </c>
      <c r="I272">
        <v>670</v>
      </c>
      <c r="J272">
        <v>372</v>
      </c>
      <c r="K272" s="4">
        <v>41067.660000000003</v>
      </c>
      <c r="L272" s="4">
        <v>1553036.39</v>
      </c>
      <c r="M272" t="s">
        <v>34</v>
      </c>
      <c r="N272">
        <f t="shared" si="28"/>
        <v>1</v>
      </c>
      <c r="O272" t="str">
        <f>IF(AND(G272&lt;=F272,H272&lt;=G272,I272&lt;=H272,J272&lt;=I272),"OK","Check")</f>
        <v>OK</v>
      </c>
      <c r="P272" s="6">
        <f t="shared" si="29"/>
        <v>6.1963622390162678</v>
      </c>
      <c r="Q272" s="6">
        <f t="shared" si="30"/>
        <v>22.480620155038761</v>
      </c>
      <c r="R272" s="6">
        <f t="shared" si="31"/>
        <v>51.340996168582379</v>
      </c>
      <c r="S272" s="6">
        <f t="shared" si="32"/>
        <v>55.522388059701491</v>
      </c>
      <c r="T272" s="6">
        <f t="shared" si="33"/>
        <v>3681.6529843677481</v>
      </c>
      <c r="U272" s="6">
        <f t="shared" si="34"/>
        <v>37.816529843677479</v>
      </c>
    </row>
    <row r="273" spans="1:21" x14ac:dyDescent="0.3">
      <c r="A273" s="2">
        <v>45518</v>
      </c>
      <c r="B273" t="s">
        <v>17</v>
      </c>
      <c r="C273" t="s">
        <v>22</v>
      </c>
      <c r="D273" t="s">
        <v>27</v>
      </c>
      <c r="E273" t="s">
        <v>30</v>
      </c>
      <c r="F273">
        <v>184290</v>
      </c>
      <c r="G273">
        <v>10858</v>
      </c>
      <c r="H273">
        <v>2176</v>
      </c>
      <c r="I273">
        <v>991</v>
      </c>
      <c r="J273">
        <v>427</v>
      </c>
      <c r="K273" s="4">
        <v>163226.63</v>
      </c>
      <c r="L273" s="4">
        <v>1995132.12</v>
      </c>
      <c r="M273" t="s">
        <v>32</v>
      </c>
      <c r="N273">
        <f t="shared" si="28"/>
        <v>1</v>
      </c>
      <c r="O273" t="str">
        <f>IF(AND(G273&lt;=F273,H273&lt;=G273,I273&lt;=H273,J273&lt;=I273),"OK","Check")</f>
        <v>OK</v>
      </c>
      <c r="P273" s="6">
        <f t="shared" si="29"/>
        <v>5.8918009658690114</v>
      </c>
      <c r="Q273" s="6">
        <f t="shared" si="30"/>
        <v>20.040523116596059</v>
      </c>
      <c r="R273" s="6">
        <f t="shared" si="31"/>
        <v>45.54227941176471</v>
      </c>
      <c r="S273" s="6">
        <f t="shared" si="32"/>
        <v>43.087790110998995</v>
      </c>
      <c r="T273" s="6">
        <f t="shared" si="33"/>
        <v>1122.3079775646904</v>
      </c>
      <c r="U273" s="6">
        <f t="shared" si="34"/>
        <v>12.223079775646903</v>
      </c>
    </row>
    <row r="274" spans="1:21" x14ac:dyDescent="0.3">
      <c r="A274" s="2">
        <v>45519</v>
      </c>
      <c r="B274" t="s">
        <v>13</v>
      </c>
      <c r="C274" t="s">
        <v>18</v>
      </c>
      <c r="D274" t="s">
        <v>23</v>
      </c>
      <c r="E274" t="s">
        <v>29</v>
      </c>
      <c r="F274">
        <v>246897</v>
      </c>
      <c r="G274">
        <v>8565</v>
      </c>
      <c r="H274">
        <v>2017</v>
      </c>
      <c r="I274">
        <v>1112</v>
      </c>
      <c r="J274">
        <v>614</v>
      </c>
      <c r="K274" s="4">
        <v>246807.4</v>
      </c>
      <c r="L274" s="4">
        <v>4424382.49</v>
      </c>
      <c r="M274" t="s">
        <v>33</v>
      </c>
      <c r="N274">
        <f t="shared" si="28"/>
        <v>1</v>
      </c>
      <c r="O274" t="str">
        <f>IF(AND(G274&lt;=F274,H274&lt;=G274,I274&lt;=H274,J274&lt;=I274),"OK","Check")</f>
        <v>OK</v>
      </c>
      <c r="P274" s="6">
        <f t="shared" si="29"/>
        <v>3.4690579472411573</v>
      </c>
      <c r="Q274" s="6">
        <f t="shared" si="30"/>
        <v>23.54932866316404</v>
      </c>
      <c r="R274" s="6">
        <f t="shared" si="31"/>
        <v>55.13138324243927</v>
      </c>
      <c r="S274" s="6">
        <f t="shared" si="32"/>
        <v>55.2158273381295</v>
      </c>
      <c r="T274" s="6">
        <f t="shared" si="33"/>
        <v>1692.6457999233414</v>
      </c>
      <c r="U274" s="6">
        <f t="shared" si="34"/>
        <v>17.926457999233413</v>
      </c>
    </row>
    <row r="275" spans="1:21" x14ac:dyDescent="0.3">
      <c r="A275" s="2">
        <v>45519</v>
      </c>
      <c r="B275" t="s">
        <v>17</v>
      </c>
      <c r="C275" t="s">
        <v>22</v>
      </c>
      <c r="D275" t="s">
        <v>27</v>
      </c>
      <c r="E275" t="s">
        <v>29</v>
      </c>
      <c r="F275">
        <v>75772</v>
      </c>
      <c r="G275">
        <v>2986</v>
      </c>
      <c r="H275">
        <v>585</v>
      </c>
      <c r="I275">
        <v>343</v>
      </c>
      <c r="J275">
        <v>194</v>
      </c>
      <c r="K275" s="4">
        <v>50358.62</v>
      </c>
      <c r="L275" s="4">
        <v>1510026.78</v>
      </c>
      <c r="M275" t="s">
        <v>33</v>
      </c>
      <c r="N275">
        <f t="shared" si="28"/>
        <v>1</v>
      </c>
      <c r="O275" t="str">
        <f>IF(AND(G275&lt;=F275,H275&lt;=G275,I275&lt;=H275,J275&lt;=I275),"OK","Check")</f>
        <v>OK</v>
      </c>
      <c r="P275" s="6">
        <f t="shared" si="29"/>
        <v>3.9407696774534129</v>
      </c>
      <c r="Q275" s="6">
        <f t="shared" si="30"/>
        <v>19.591426657736104</v>
      </c>
      <c r="R275" s="6">
        <f t="shared" si="31"/>
        <v>58.632478632478637</v>
      </c>
      <c r="S275" s="6">
        <f t="shared" si="32"/>
        <v>56.559766763848394</v>
      </c>
      <c r="T275" s="6">
        <f t="shared" si="33"/>
        <v>2898.5467830532289</v>
      </c>
      <c r="U275" s="6">
        <f t="shared" si="34"/>
        <v>29.98546783053229</v>
      </c>
    </row>
    <row r="276" spans="1:21" x14ac:dyDescent="0.3">
      <c r="A276" s="2">
        <v>45520</v>
      </c>
      <c r="B276" t="s">
        <v>13</v>
      </c>
      <c r="C276" t="s">
        <v>18</v>
      </c>
      <c r="D276" t="s">
        <v>23</v>
      </c>
      <c r="E276" t="s">
        <v>29</v>
      </c>
      <c r="F276">
        <v>259857</v>
      </c>
      <c r="G276">
        <v>18951</v>
      </c>
      <c r="H276">
        <v>3776</v>
      </c>
      <c r="I276">
        <v>2370</v>
      </c>
      <c r="J276">
        <v>1066</v>
      </c>
      <c r="K276" s="4">
        <v>110740.59</v>
      </c>
      <c r="L276" s="4">
        <v>3876986.66</v>
      </c>
      <c r="M276" t="s">
        <v>33</v>
      </c>
      <c r="N276">
        <f t="shared" si="28"/>
        <v>1</v>
      </c>
      <c r="O276" t="str">
        <f>IF(AND(G276&lt;=F276,H276&lt;=G276,I276&lt;=H276,J276&lt;=I276),"OK","Check")</f>
        <v>OK</v>
      </c>
      <c r="P276" s="6">
        <f t="shared" si="29"/>
        <v>7.2928572253200805</v>
      </c>
      <c r="Q276" s="6">
        <f t="shared" si="30"/>
        <v>19.925069917154765</v>
      </c>
      <c r="R276" s="6">
        <f t="shared" si="31"/>
        <v>62.764830508474581</v>
      </c>
      <c r="S276" s="6">
        <f t="shared" si="32"/>
        <v>44.978902953586498</v>
      </c>
      <c r="T276" s="6">
        <f t="shared" si="33"/>
        <v>3400.9626190360741</v>
      </c>
      <c r="U276" s="6">
        <f t="shared" si="34"/>
        <v>35.009626190360734</v>
      </c>
    </row>
    <row r="277" spans="1:21" x14ac:dyDescent="0.3">
      <c r="A277" s="2">
        <v>45520</v>
      </c>
      <c r="B277" t="s">
        <v>17</v>
      </c>
      <c r="C277" t="s">
        <v>22</v>
      </c>
      <c r="D277" t="s">
        <v>27</v>
      </c>
      <c r="E277" t="s">
        <v>30</v>
      </c>
      <c r="F277">
        <v>147185</v>
      </c>
      <c r="G277">
        <v>8624</v>
      </c>
      <c r="H277">
        <v>2052</v>
      </c>
      <c r="I277">
        <v>1243</v>
      </c>
      <c r="J277">
        <v>630</v>
      </c>
      <c r="K277" s="4">
        <v>102580.43</v>
      </c>
      <c r="L277" s="4">
        <v>3446317.81</v>
      </c>
      <c r="M277" t="s">
        <v>34</v>
      </c>
      <c r="N277">
        <f t="shared" si="28"/>
        <v>1</v>
      </c>
      <c r="O277" t="str">
        <f>IF(AND(G277&lt;=F277,H277&lt;=G277,I277&lt;=H277,J277&lt;=I277),"OK","Check")</f>
        <v>OK</v>
      </c>
      <c r="P277" s="6">
        <f t="shared" si="29"/>
        <v>5.8592927268403709</v>
      </c>
      <c r="Q277" s="6">
        <f t="shared" si="30"/>
        <v>23.794063079777366</v>
      </c>
      <c r="R277" s="6">
        <f t="shared" si="31"/>
        <v>60.575048732943472</v>
      </c>
      <c r="S277" s="6">
        <f t="shared" si="32"/>
        <v>50.683829444891394</v>
      </c>
      <c r="T277" s="6">
        <f t="shared" si="33"/>
        <v>3259.6250376411954</v>
      </c>
      <c r="U277" s="6">
        <f t="shared" si="34"/>
        <v>33.596250376411959</v>
      </c>
    </row>
    <row r="278" spans="1:21" x14ac:dyDescent="0.3">
      <c r="A278" s="2">
        <v>45521</v>
      </c>
      <c r="B278" t="s">
        <v>13</v>
      </c>
      <c r="C278" t="s">
        <v>18</v>
      </c>
      <c r="D278" t="s">
        <v>23</v>
      </c>
      <c r="E278" t="s">
        <v>29</v>
      </c>
      <c r="F278">
        <v>160425</v>
      </c>
      <c r="G278">
        <v>11372</v>
      </c>
      <c r="H278">
        <v>2306</v>
      </c>
      <c r="I278">
        <v>1230</v>
      </c>
      <c r="J278">
        <v>588</v>
      </c>
      <c r="K278" s="4">
        <v>133747.28</v>
      </c>
      <c r="L278" s="4">
        <v>2831000.7</v>
      </c>
      <c r="M278" t="s">
        <v>33</v>
      </c>
      <c r="N278">
        <f t="shared" si="28"/>
        <v>1</v>
      </c>
      <c r="O278" t="str">
        <f>IF(AND(G278&lt;=F278,H278&lt;=G278,I278&lt;=H278,J278&lt;=I278),"OK","Check")</f>
        <v>OK</v>
      </c>
      <c r="P278" s="6">
        <f t="shared" si="29"/>
        <v>7.0886707184042388</v>
      </c>
      <c r="Q278" s="6">
        <f t="shared" si="30"/>
        <v>20.277875483644038</v>
      </c>
      <c r="R278" s="6">
        <f t="shared" si="31"/>
        <v>53.33911535125759</v>
      </c>
      <c r="S278" s="6">
        <f t="shared" si="32"/>
        <v>47.804878048780488</v>
      </c>
      <c r="T278" s="6">
        <f t="shared" si="33"/>
        <v>2016.6790831185506</v>
      </c>
      <c r="U278" s="6">
        <f t="shared" si="34"/>
        <v>21.166790831185502</v>
      </c>
    </row>
    <row r="279" spans="1:21" x14ac:dyDescent="0.3">
      <c r="A279" s="2">
        <v>45521</v>
      </c>
      <c r="B279" t="s">
        <v>17</v>
      </c>
      <c r="C279" t="s">
        <v>22</v>
      </c>
      <c r="D279" t="s">
        <v>27</v>
      </c>
      <c r="E279" t="s">
        <v>28</v>
      </c>
      <c r="F279">
        <v>196487</v>
      </c>
      <c r="G279">
        <v>8699</v>
      </c>
      <c r="H279">
        <v>1691</v>
      </c>
      <c r="I279">
        <v>1051</v>
      </c>
      <c r="J279">
        <v>613</v>
      </c>
      <c r="K279" s="4">
        <v>171743.84</v>
      </c>
      <c r="L279" s="4">
        <v>3311850.86</v>
      </c>
      <c r="M279" t="s">
        <v>32</v>
      </c>
      <c r="N279">
        <f t="shared" si="28"/>
        <v>1</v>
      </c>
      <c r="O279" t="str">
        <f>IF(AND(G279&lt;=F279,H279&lt;=G279,I279&lt;=H279,J279&lt;=I279),"OK","Check")</f>
        <v>OK</v>
      </c>
      <c r="P279" s="6">
        <f t="shared" si="29"/>
        <v>4.4272649081109696</v>
      </c>
      <c r="Q279" s="6">
        <f t="shared" si="30"/>
        <v>19.439015978848143</v>
      </c>
      <c r="R279" s="6">
        <f t="shared" si="31"/>
        <v>62.152572442341814</v>
      </c>
      <c r="S279" s="6">
        <f t="shared" si="32"/>
        <v>58.325404376784022</v>
      </c>
      <c r="T279" s="6">
        <f t="shared" si="33"/>
        <v>1828.3666069187693</v>
      </c>
      <c r="U279" s="6">
        <f t="shared" si="34"/>
        <v>19.283666069187692</v>
      </c>
    </row>
    <row r="280" spans="1:21" x14ac:dyDescent="0.3">
      <c r="A280" s="2">
        <v>45522</v>
      </c>
      <c r="B280" t="s">
        <v>13</v>
      </c>
      <c r="C280" t="s">
        <v>18</v>
      </c>
      <c r="D280" t="s">
        <v>23</v>
      </c>
      <c r="E280" t="s">
        <v>29</v>
      </c>
      <c r="F280">
        <v>136692</v>
      </c>
      <c r="G280">
        <v>7477</v>
      </c>
      <c r="H280">
        <v>1371</v>
      </c>
      <c r="I280">
        <v>764</v>
      </c>
      <c r="J280">
        <v>442</v>
      </c>
      <c r="K280" s="4">
        <v>120425.27</v>
      </c>
      <c r="L280" s="4">
        <v>2071543.89</v>
      </c>
      <c r="M280" t="s">
        <v>34</v>
      </c>
      <c r="N280">
        <f t="shared" si="28"/>
        <v>1</v>
      </c>
      <c r="O280" t="str">
        <f>IF(AND(G280&lt;=F280,H280&lt;=G280,I280&lt;=H280,J280&lt;=I280),"OK","Check")</f>
        <v>OK</v>
      </c>
      <c r="P280" s="6">
        <f t="shared" si="29"/>
        <v>5.4699616656424661</v>
      </c>
      <c r="Q280" s="6">
        <f t="shared" si="30"/>
        <v>18.33623110873345</v>
      </c>
      <c r="R280" s="6">
        <f t="shared" si="31"/>
        <v>55.725747629467534</v>
      </c>
      <c r="S280" s="6">
        <f t="shared" si="32"/>
        <v>57.853403141361262</v>
      </c>
      <c r="T280" s="6">
        <f t="shared" si="33"/>
        <v>1620.1903637002431</v>
      </c>
      <c r="U280" s="6">
        <f t="shared" si="34"/>
        <v>17.201903637002431</v>
      </c>
    </row>
    <row r="281" spans="1:21" x14ac:dyDescent="0.3">
      <c r="A281" s="2">
        <v>45522</v>
      </c>
      <c r="B281" t="s">
        <v>17</v>
      </c>
      <c r="C281" t="s">
        <v>22</v>
      </c>
      <c r="D281" t="s">
        <v>27</v>
      </c>
      <c r="E281" t="s">
        <v>30</v>
      </c>
      <c r="F281">
        <v>254671</v>
      </c>
      <c r="G281">
        <v>15131</v>
      </c>
      <c r="H281">
        <v>3100</v>
      </c>
      <c r="I281">
        <v>1454</v>
      </c>
      <c r="J281">
        <v>638</v>
      </c>
      <c r="K281" s="4">
        <v>167140.01</v>
      </c>
      <c r="L281" s="4">
        <v>4151995.55</v>
      </c>
      <c r="M281" t="s">
        <v>34</v>
      </c>
      <c r="N281">
        <f t="shared" si="28"/>
        <v>1</v>
      </c>
      <c r="O281" t="str">
        <f>IF(AND(G281&lt;=F281,H281&lt;=G281,I281&lt;=H281,J281&lt;=I281),"OK","Check")</f>
        <v>OK</v>
      </c>
      <c r="P281" s="6">
        <f t="shared" si="29"/>
        <v>5.941391049628737</v>
      </c>
      <c r="Q281" s="6">
        <f t="shared" si="30"/>
        <v>20.487740400502279</v>
      </c>
      <c r="R281" s="6">
        <f t="shared" si="31"/>
        <v>46.903225806451616</v>
      </c>
      <c r="S281" s="6">
        <f t="shared" si="32"/>
        <v>43.878954607977995</v>
      </c>
      <c r="T281" s="6">
        <f t="shared" si="33"/>
        <v>2384.1422170550304</v>
      </c>
      <c r="U281" s="6">
        <f t="shared" si="34"/>
        <v>24.841422170550306</v>
      </c>
    </row>
    <row r="282" spans="1:21" x14ac:dyDescent="0.3">
      <c r="A282" s="2">
        <v>45523</v>
      </c>
      <c r="B282" t="s">
        <v>13</v>
      </c>
      <c r="C282" t="s">
        <v>18</v>
      </c>
      <c r="D282" t="s">
        <v>23</v>
      </c>
      <c r="E282" t="s">
        <v>29</v>
      </c>
      <c r="F282">
        <v>167681</v>
      </c>
      <c r="G282">
        <v>13225</v>
      </c>
      <c r="H282">
        <v>2990</v>
      </c>
      <c r="I282">
        <v>1842</v>
      </c>
      <c r="J282">
        <v>894</v>
      </c>
      <c r="K282" s="4">
        <v>92404.26</v>
      </c>
      <c r="L282" s="4">
        <v>6148023.7000000002</v>
      </c>
      <c r="M282" t="s">
        <v>33</v>
      </c>
      <c r="N282">
        <f t="shared" si="28"/>
        <v>1</v>
      </c>
      <c r="O282" t="str">
        <f>IF(AND(G282&lt;=F282,H282&lt;=G282,I282&lt;=H282,J282&lt;=I282),"OK","Check")</f>
        <v>OK</v>
      </c>
      <c r="P282" s="6">
        <f t="shared" si="29"/>
        <v>7.8869997197058703</v>
      </c>
      <c r="Q282" s="6">
        <f t="shared" si="30"/>
        <v>22.608695652173914</v>
      </c>
      <c r="R282" s="6">
        <f t="shared" si="31"/>
        <v>61.605351170568554</v>
      </c>
      <c r="S282" s="6">
        <f t="shared" si="32"/>
        <v>48.534201954397396</v>
      </c>
      <c r="T282" s="6">
        <f t="shared" si="33"/>
        <v>6553.3985554345663</v>
      </c>
      <c r="U282" s="6">
        <f t="shared" si="34"/>
        <v>66.533985554345662</v>
      </c>
    </row>
    <row r="283" spans="1:21" x14ac:dyDescent="0.3">
      <c r="A283" s="2">
        <v>45523</v>
      </c>
      <c r="B283" t="s">
        <v>17</v>
      </c>
      <c r="C283" t="s">
        <v>22</v>
      </c>
      <c r="D283" t="s">
        <v>27</v>
      </c>
      <c r="E283" t="s">
        <v>29</v>
      </c>
      <c r="F283">
        <v>150411</v>
      </c>
      <c r="G283">
        <v>8934</v>
      </c>
      <c r="H283">
        <v>1854</v>
      </c>
      <c r="I283">
        <v>1043</v>
      </c>
      <c r="J283">
        <v>438</v>
      </c>
      <c r="K283" s="4">
        <v>83953.46</v>
      </c>
      <c r="L283" s="4">
        <v>3329055.06</v>
      </c>
      <c r="M283" t="s">
        <v>35</v>
      </c>
      <c r="N283">
        <f t="shared" si="28"/>
        <v>1</v>
      </c>
      <c r="O283" t="str">
        <f>IF(AND(G283&lt;=F283,H283&lt;=G283,I283&lt;=H283,J283&lt;=I283),"OK","Check")</f>
        <v>OK</v>
      </c>
      <c r="P283" s="6">
        <f t="shared" si="29"/>
        <v>5.939725153080559</v>
      </c>
      <c r="Q283" s="6">
        <f t="shared" si="30"/>
        <v>20.752182672934854</v>
      </c>
      <c r="R283" s="6">
        <f t="shared" si="31"/>
        <v>56.256742179072269</v>
      </c>
      <c r="S283" s="6">
        <f t="shared" si="32"/>
        <v>41.994247363374882</v>
      </c>
      <c r="T283" s="6">
        <f t="shared" si="33"/>
        <v>3865.3577827524914</v>
      </c>
      <c r="U283" s="6">
        <f t="shared" si="34"/>
        <v>39.653577827524913</v>
      </c>
    </row>
    <row r="284" spans="1:21" x14ac:dyDescent="0.3">
      <c r="A284" s="2">
        <v>45524</v>
      </c>
      <c r="B284" t="s">
        <v>13</v>
      </c>
      <c r="C284" t="s">
        <v>18</v>
      </c>
      <c r="D284" t="s">
        <v>23</v>
      </c>
      <c r="E284" t="s">
        <v>29</v>
      </c>
      <c r="F284">
        <v>50916</v>
      </c>
      <c r="G284">
        <v>2686</v>
      </c>
      <c r="H284">
        <v>642</v>
      </c>
      <c r="I284">
        <v>387</v>
      </c>
      <c r="J284">
        <v>160</v>
      </c>
      <c r="K284" s="4">
        <v>34435.4</v>
      </c>
      <c r="L284" s="4">
        <v>774444.94</v>
      </c>
      <c r="M284" t="s">
        <v>33</v>
      </c>
      <c r="N284">
        <f t="shared" si="28"/>
        <v>1</v>
      </c>
      <c r="O284" t="str">
        <f>IF(AND(G284&lt;=F284,H284&lt;=G284,I284&lt;=H284,J284&lt;=I284),"OK","Check")</f>
        <v>OK</v>
      </c>
      <c r="P284" s="6">
        <f t="shared" si="29"/>
        <v>5.2753554874695574</v>
      </c>
      <c r="Q284" s="6">
        <f t="shared" si="30"/>
        <v>23.901712583767683</v>
      </c>
      <c r="R284" s="6">
        <f t="shared" si="31"/>
        <v>60.280373831775705</v>
      </c>
      <c r="S284" s="6">
        <f t="shared" si="32"/>
        <v>41.343669250645995</v>
      </c>
      <c r="T284" s="6">
        <f t="shared" si="33"/>
        <v>2148.9790738600391</v>
      </c>
      <c r="U284" s="6">
        <f t="shared" si="34"/>
        <v>22.489790738600391</v>
      </c>
    </row>
    <row r="285" spans="1:21" x14ac:dyDescent="0.3">
      <c r="A285" s="2">
        <v>45524</v>
      </c>
      <c r="B285" t="s">
        <v>17</v>
      </c>
      <c r="C285" t="s">
        <v>22</v>
      </c>
      <c r="D285" t="s">
        <v>27</v>
      </c>
      <c r="E285" t="s">
        <v>28</v>
      </c>
      <c r="F285">
        <v>266600</v>
      </c>
      <c r="G285">
        <v>18274</v>
      </c>
      <c r="H285">
        <v>4074</v>
      </c>
      <c r="I285">
        <v>2224</v>
      </c>
      <c r="J285">
        <v>907</v>
      </c>
      <c r="K285" s="4">
        <v>192783.02</v>
      </c>
      <c r="L285" s="4">
        <v>4819731.1399999997</v>
      </c>
      <c r="M285" t="s">
        <v>32</v>
      </c>
      <c r="N285">
        <f t="shared" si="28"/>
        <v>1</v>
      </c>
      <c r="O285" t="str">
        <f>IF(AND(G285&lt;=F285,H285&lt;=G285,I285&lt;=H285,J285&lt;=I285),"OK","Check")</f>
        <v>OK</v>
      </c>
      <c r="P285" s="6">
        <f t="shared" si="29"/>
        <v>6.8544636159039758</v>
      </c>
      <c r="Q285" s="6">
        <f t="shared" si="30"/>
        <v>22.293969574258512</v>
      </c>
      <c r="R285" s="6">
        <f t="shared" si="31"/>
        <v>54.590083456062835</v>
      </c>
      <c r="S285" s="6">
        <f t="shared" si="32"/>
        <v>40.782374100719423</v>
      </c>
      <c r="T285" s="6">
        <f t="shared" si="33"/>
        <v>2400.0807332513</v>
      </c>
      <c r="U285" s="6">
        <f t="shared" si="34"/>
        <v>25.000807332512998</v>
      </c>
    </row>
    <row r="286" spans="1:21" x14ac:dyDescent="0.3">
      <c r="A286" s="2">
        <v>45525</v>
      </c>
      <c r="B286" t="s">
        <v>13</v>
      </c>
      <c r="C286" t="s">
        <v>18</v>
      </c>
      <c r="D286" t="s">
        <v>23</v>
      </c>
      <c r="E286" t="s">
        <v>29</v>
      </c>
      <c r="F286">
        <v>246115</v>
      </c>
      <c r="G286">
        <v>17238</v>
      </c>
      <c r="H286">
        <v>2715</v>
      </c>
      <c r="I286">
        <v>1569</v>
      </c>
      <c r="J286">
        <v>816</v>
      </c>
      <c r="K286" s="4">
        <v>239237.62</v>
      </c>
      <c r="L286" s="4">
        <v>5018704.7300000004</v>
      </c>
      <c r="M286" t="s">
        <v>35</v>
      </c>
      <c r="N286">
        <f t="shared" si="28"/>
        <v>1</v>
      </c>
      <c r="O286" t="str">
        <f>IF(AND(G286&lt;=F286,H286&lt;=G286,I286&lt;=H286,J286&lt;=I286),"OK","Check")</f>
        <v>OK</v>
      </c>
      <c r="P286" s="6">
        <f t="shared" si="29"/>
        <v>7.0040428255084013</v>
      </c>
      <c r="Q286" s="6">
        <f t="shared" si="30"/>
        <v>15.750087017055343</v>
      </c>
      <c r="R286" s="6">
        <f t="shared" si="31"/>
        <v>57.790055248618785</v>
      </c>
      <c r="S286" s="6">
        <f t="shared" si="32"/>
        <v>52.007648183556412</v>
      </c>
      <c r="T286" s="6">
        <f t="shared" si="33"/>
        <v>1997.7907780557257</v>
      </c>
      <c r="U286" s="6">
        <f t="shared" si="34"/>
        <v>20.977907780557256</v>
      </c>
    </row>
    <row r="287" spans="1:21" x14ac:dyDescent="0.3">
      <c r="A287" s="2">
        <v>45525</v>
      </c>
      <c r="B287" t="s">
        <v>17</v>
      </c>
      <c r="C287" t="s">
        <v>22</v>
      </c>
      <c r="D287" t="s">
        <v>27</v>
      </c>
      <c r="E287" t="s">
        <v>29</v>
      </c>
      <c r="F287">
        <v>286047</v>
      </c>
      <c r="G287">
        <v>14611</v>
      </c>
      <c r="H287">
        <v>3332</v>
      </c>
      <c r="I287">
        <v>1656</v>
      </c>
      <c r="J287">
        <v>978</v>
      </c>
      <c r="K287" s="4">
        <v>195179.76</v>
      </c>
      <c r="L287" s="4">
        <v>5342189.13</v>
      </c>
      <c r="M287" t="s">
        <v>33</v>
      </c>
      <c r="N287">
        <f t="shared" si="28"/>
        <v>1</v>
      </c>
      <c r="O287" t="str">
        <f>IF(AND(G287&lt;=F287,H287&lt;=G287,I287&lt;=H287,J287&lt;=I287),"OK","Check")</f>
        <v>OK</v>
      </c>
      <c r="P287" s="6">
        <f t="shared" si="29"/>
        <v>5.107901848297657</v>
      </c>
      <c r="Q287" s="6">
        <f t="shared" si="30"/>
        <v>22.804736157689412</v>
      </c>
      <c r="R287" s="6">
        <f t="shared" si="31"/>
        <v>49.69987995198079</v>
      </c>
      <c r="S287" s="6">
        <f t="shared" si="32"/>
        <v>59.05797101449275</v>
      </c>
      <c r="T287" s="6">
        <f t="shared" si="33"/>
        <v>2637.0610200565879</v>
      </c>
      <c r="U287" s="6">
        <f t="shared" si="34"/>
        <v>27.370610200565878</v>
      </c>
    </row>
    <row r="288" spans="1:21" x14ac:dyDescent="0.3">
      <c r="A288" s="2">
        <v>45526</v>
      </c>
      <c r="B288" t="s">
        <v>13</v>
      </c>
      <c r="C288" t="s">
        <v>18</v>
      </c>
      <c r="D288" t="s">
        <v>23</v>
      </c>
      <c r="E288" t="s">
        <v>29</v>
      </c>
      <c r="F288">
        <v>55434</v>
      </c>
      <c r="G288">
        <v>3340</v>
      </c>
      <c r="H288">
        <v>628</v>
      </c>
      <c r="I288">
        <v>299</v>
      </c>
      <c r="J288">
        <v>157</v>
      </c>
      <c r="K288" s="4">
        <v>47688.639999999999</v>
      </c>
      <c r="L288" s="4">
        <v>567663.31000000006</v>
      </c>
      <c r="M288" t="s">
        <v>31</v>
      </c>
      <c r="N288">
        <f t="shared" si="28"/>
        <v>1</v>
      </c>
      <c r="O288" t="str">
        <f>IF(AND(G288&lt;=F288,H288&lt;=G288,I288&lt;=H288,J288&lt;=I288),"OK","Check")</f>
        <v>OK</v>
      </c>
      <c r="P288" s="6">
        <f t="shared" si="29"/>
        <v>6.0251831006241661</v>
      </c>
      <c r="Q288" s="6">
        <f t="shared" si="30"/>
        <v>18.802395209580837</v>
      </c>
      <c r="R288" s="6">
        <f t="shared" si="31"/>
        <v>47.611464968152866</v>
      </c>
      <c r="S288" s="6">
        <f t="shared" si="32"/>
        <v>52.508361204013376</v>
      </c>
      <c r="T288" s="6">
        <f t="shared" si="33"/>
        <v>1090.3533210424957</v>
      </c>
      <c r="U288" s="6">
        <f t="shared" si="34"/>
        <v>11.903533210424959</v>
      </c>
    </row>
    <row r="289" spans="1:21" x14ac:dyDescent="0.3">
      <c r="A289" s="2">
        <v>45526</v>
      </c>
      <c r="B289" t="s">
        <v>17</v>
      </c>
      <c r="C289" t="s">
        <v>22</v>
      </c>
      <c r="D289" t="s">
        <v>27</v>
      </c>
      <c r="E289" t="s">
        <v>29</v>
      </c>
      <c r="F289">
        <v>138420</v>
      </c>
      <c r="G289">
        <v>9190</v>
      </c>
      <c r="H289">
        <v>1758</v>
      </c>
      <c r="I289">
        <v>895</v>
      </c>
      <c r="J289">
        <v>476</v>
      </c>
      <c r="K289" s="4">
        <v>121775.58</v>
      </c>
      <c r="L289" s="4">
        <v>3796435.52</v>
      </c>
      <c r="M289" t="s">
        <v>32</v>
      </c>
      <c r="N289">
        <f t="shared" si="28"/>
        <v>1</v>
      </c>
      <c r="O289" t="str">
        <f>IF(AND(G289&lt;=F289,H289&lt;=G289,I289&lt;=H289,J289&lt;=I289),"OK","Check")</f>
        <v>OK</v>
      </c>
      <c r="P289" s="6">
        <f t="shared" si="29"/>
        <v>6.6392139864181479</v>
      </c>
      <c r="Q289" s="6">
        <f t="shared" si="30"/>
        <v>19.12948857453754</v>
      </c>
      <c r="R289" s="6">
        <f t="shared" si="31"/>
        <v>50.91012514220705</v>
      </c>
      <c r="S289" s="6">
        <f t="shared" si="32"/>
        <v>53.184357541899438</v>
      </c>
      <c r="T289" s="6">
        <f t="shared" si="33"/>
        <v>3017.5671838311096</v>
      </c>
      <c r="U289" s="6">
        <f t="shared" si="34"/>
        <v>31.175671838311096</v>
      </c>
    </row>
    <row r="290" spans="1:21" x14ac:dyDescent="0.3">
      <c r="A290" s="2">
        <v>45527</v>
      </c>
      <c r="B290" t="s">
        <v>13</v>
      </c>
      <c r="C290" t="s">
        <v>18</v>
      </c>
      <c r="D290" t="s">
        <v>23</v>
      </c>
      <c r="E290" t="s">
        <v>29</v>
      </c>
      <c r="F290">
        <v>212121</v>
      </c>
      <c r="G290">
        <v>8521</v>
      </c>
      <c r="H290">
        <v>1831</v>
      </c>
      <c r="I290">
        <v>1065</v>
      </c>
      <c r="J290">
        <v>523</v>
      </c>
      <c r="K290" s="4">
        <v>210422.93</v>
      </c>
      <c r="L290" s="4">
        <v>1816349.21</v>
      </c>
      <c r="M290" t="s">
        <v>32</v>
      </c>
      <c r="N290">
        <f t="shared" si="28"/>
        <v>1</v>
      </c>
      <c r="O290" t="str">
        <f>IF(AND(G290&lt;=F290,H290&lt;=G290,I290&lt;=H290,J290&lt;=I290),"OK","Check")</f>
        <v>OK</v>
      </c>
      <c r="P290" s="6">
        <f t="shared" si="29"/>
        <v>4.0170468741897318</v>
      </c>
      <c r="Q290" s="6">
        <f t="shared" si="30"/>
        <v>21.488088252552519</v>
      </c>
      <c r="R290" s="6">
        <f t="shared" si="31"/>
        <v>58.164937192790823</v>
      </c>
      <c r="S290" s="6">
        <f t="shared" si="32"/>
        <v>49.10798122065728</v>
      </c>
      <c r="T290" s="6">
        <f t="shared" si="33"/>
        <v>763.18977214127756</v>
      </c>
      <c r="U290" s="6">
        <f t="shared" si="34"/>
        <v>8.6318977214127752</v>
      </c>
    </row>
    <row r="291" spans="1:21" x14ac:dyDescent="0.3">
      <c r="A291" s="2">
        <v>45527</v>
      </c>
      <c r="B291" t="s">
        <v>17</v>
      </c>
      <c r="C291" t="s">
        <v>22</v>
      </c>
      <c r="D291" t="s">
        <v>27</v>
      </c>
      <c r="E291" t="s">
        <v>28</v>
      </c>
      <c r="F291">
        <v>174155</v>
      </c>
      <c r="G291">
        <v>7729</v>
      </c>
      <c r="H291">
        <v>1269</v>
      </c>
      <c r="I291">
        <v>726</v>
      </c>
      <c r="J291">
        <v>423</v>
      </c>
      <c r="K291" s="4">
        <v>114529.99</v>
      </c>
      <c r="L291" s="4">
        <v>1755445.01</v>
      </c>
      <c r="M291" t="s">
        <v>32</v>
      </c>
      <c r="N291">
        <f t="shared" si="28"/>
        <v>1</v>
      </c>
      <c r="O291" t="str">
        <f>IF(AND(G291&lt;=F291,H291&lt;=G291,I291&lt;=H291,J291&lt;=I291),"OK","Check")</f>
        <v>OK</v>
      </c>
      <c r="P291" s="6">
        <f t="shared" si="29"/>
        <v>4.4380006316212572</v>
      </c>
      <c r="Q291" s="6">
        <f t="shared" si="30"/>
        <v>16.418682882649762</v>
      </c>
      <c r="R291" s="6">
        <f t="shared" si="31"/>
        <v>57.210401891252957</v>
      </c>
      <c r="S291" s="6">
        <f t="shared" si="32"/>
        <v>58.264462809917347</v>
      </c>
      <c r="T291" s="6">
        <f t="shared" si="33"/>
        <v>1432.7382897702164</v>
      </c>
      <c r="U291" s="6">
        <f t="shared" si="34"/>
        <v>15.327382897702165</v>
      </c>
    </row>
    <row r="292" spans="1:21" x14ac:dyDescent="0.3">
      <c r="A292" s="2">
        <v>45528</v>
      </c>
      <c r="B292" t="s">
        <v>13</v>
      </c>
      <c r="C292" t="s">
        <v>18</v>
      </c>
      <c r="D292" t="s">
        <v>23</v>
      </c>
      <c r="E292" t="s">
        <v>29</v>
      </c>
      <c r="F292">
        <v>298055</v>
      </c>
      <c r="G292">
        <v>23238</v>
      </c>
      <c r="H292">
        <v>3774</v>
      </c>
      <c r="I292">
        <v>2035</v>
      </c>
      <c r="J292">
        <v>1015</v>
      </c>
      <c r="K292" s="4">
        <v>255249.45</v>
      </c>
      <c r="L292" s="4">
        <v>5574248.1399999997</v>
      </c>
      <c r="M292" t="s">
        <v>34</v>
      </c>
      <c r="N292">
        <f t="shared" si="28"/>
        <v>1</v>
      </c>
      <c r="O292" t="str">
        <f>IF(AND(G292&lt;=F292,H292&lt;=G292,I292&lt;=H292,J292&lt;=I292),"OK","Check")</f>
        <v>OK</v>
      </c>
      <c r="P292" s="6">
        <f t="shared" si="29"/>
        <v>7.7965476170505452</v>
      </c>
      <c r="Q292" s="6">
        <f t="shared" si="30"/>
        <v>16.240640330493157</v>
      </c>
      <c r="R292" s="6">
        <f t="shared" si="31"/>
        <v>53.921568627450981</v>
      </c>
      <c r="S292" s="6">
        <f t="shared" si="32"/>
        <v>49.877149877149876</v>
      </c>
      <c r="T292" s="6">
        <f t="shared" si="33"/>
        <v>2083.8433501032023</v>
      </c>
      <c r="U292" s="6">
        <f t="shared" si="34"/>
        <v>21.838433501032029</v>
      </c>
    </row>
    <row r="293" spans="1:21" x14ac:dyDescent="0.3">
      <c r="A293" s="2">
        <v>45528</v>
      </c>
      <c r="B293" t="s">
        <v>17</v>
      </c>
      <c r="C293" t="s">
        <v>22</v>
      </c>
      <c r="D293" t="s">
        <v>27</v>
      </c>
      <c r="E293" t="s">
        <v>29</v>
      </c>
      <c r="F293">
        <v>73433</v>
      </c>
      <c r="G293">
        <v>3246</v>
      </c>
      <c r="H293">
        <v>574</v>
      </c>
      <c r="I293">
        <v>335</v>
      </c>
      <c r="J293">
        <v>163</v>
      </c>
      <c r="K293" s="4">
        <v>43645.42</v>
      </c>
      <c r="L293" s="4">
        <v>1029954.06</v>
      </c>
      <c r="M293" t="s">
        <v>31</v>
      </c>
      <c r="N293">
        <f t="shared" si="28"/>
        <v>1</v>
      </c>
      <c r="O293" t="str">
        <f>IF(AND(G293&lt;=F293,H293&lt;=G293,I293&lt;=H293,J293&lt;=I293),"OK","Check")</f>
        <v>OK</v>
      </c>
      <c r="P293" s="6">
        <f t="shared" si="29"/>
        <v>4.4203559707488456</v>
      </c>
      <c r="Q293" s="6">
        <f t="shared" si="30"/>
        <v>17.683302526186075</v>
      </c>
      <c r="R293" s="6">
        <f t="shared" si="31"/>
        <v>58.362369337979089</v>
      </c>
      <c r="S293" s="6">
        <f t="shared" si="32"/>
        <v>48.656716417910445</v>
      </c>
      <c r="T293" s="6">
        <f t="shared" si="33"/>
        <v>2259.8216261866655</v>
      </c>
      <c r="U293" s="6">
        <f t="shared" si="34"/>
        <v>23.598216261866654</v>
      </c>
    </row>
    <row r="294" spans="1:21" x14ac:dyDescent="0.3">
      <c r="A294" s="2">
        <v>45529</v>
      </c>
      <c r="B294" t="s">
        <v>13</v>
      </c>
      <c r="C294" t="s">
        <v>18</v>
      </c>
      <c r="D294" t="s">
        <v>23</v>
      </c>
      <c r="E294" t="s">
        <v>29</v>
      </c>
      <c r="F294">
        <v>273318</v>
      </c>
      <c r="G294">
        <v>12830</v>
      </c>
      <c r="H294">
        <v>2725</v>
      </c>
      <c r="I294">
        <v>1477</v>
      </c>
      <c r="J294">
        <v>719</v>
      </c>
      <c r="K294" s="4">
        <v>249800.87</v>
      </c>
      <c r="L294" s="4">
        <v>3360100.1</v>
      </c>
      <c r="M294" t="s">
        <v>34</v>
      </c>
      <c r="N294">
        <f t="shared" si="28"/>
        <v>1</v>
      </c>
      <c r="O294" t="str">
        <f>IF(AND(G294&lt;=F294,H294&lt;=G294,I294&lt;=H294,J294&lt;=I294),"OK","Check")</f>
        <v>OK</v>
      </c>
      <c r="P294" s="6">
        <f t="shared" si="29"/>
        <v>4.6941657702749175</v>
      </c>
      <c r="Q294" s="6">
        <f t="shared" si="30"/>
        <v>21.239282930631333</v>
      </c>
      <c r="R294" s="6">
        <f t="shared" si="31"/>
        <v>54.201834862385326</v>
      </c>
      <c r="S294" s="6">
        <f t="shared" si="32"/>
        <v>48.679756262694653</v>
      </c>
      <c r="T294" s="6">
        <f t="shared" si="33"/>
        <v>1245.111448170697</v>
      </c>
      <c r="U294" s="6">
        <f t="shared" si="34"/>
        <v>13.45111448170697</v>
      </c>
    </row>
    <row r="295" spans="1:21" x14ac:dyDescent="0.3">
      <c r="A295" s="2">
        <v>45529</v>
      </c>
      <c r="B295" t="s">
        <v>17</v>
      </c>
      <c r="C295" t="s">
        <v>22</v>
      </c>
      <c r="D295" t="s">
        <v>27</v>
      </c>
      <c r="E295" t="s">
        <v>29</v>
      </c>
      <c r="F295">
        <v>190927</v>
      </c>
      <c r="G295">
        <v>8324</v>
      </c>
      <c r="H295">
        <v>1746</v>
      </c>
      <c r="I295">
        <v>1040</v>
      </c>
      <c r="J295">
        <v>502</v>
      </c>
      <c r="K295" s="4">
        <v>153681.46</v>
      </c>
      <c r="L295" s="4">
        <v>1737263.59</v>
      </c>
      <c r="M295" t="s">
        <v>34</v>
      </c>
      <c r="N295">
        <f t="shared" si="28"/>
        <v>1</v>
      </c>
      <c r="O295" t="str">
        <f>IF(AND(G295&lt;=F295,H295&lt;=G295,I295&lt;=H295,J295&lt;=I295),"OK","Check")</f>
        <v>OK</v>
      </c>
      <c r="P295" s="6">
        <f t="shared" si="29"/>
        <v>4.359781487165252</v>
      </c>
      <c r="Q295" s="6">
        <f t="shared" si="30"/>
        <v>20.975492551657858</v>
      </c>
      <c r="R295" s="6">
        <f t="shared" si="31"/>
        <v>59.564719358533793</v>
      </c>
      <c r="S295" s="6">
        <f t="shared" si="32"/>
        <v>48.269230769230766</v>
      </c>
      <c r="T295" s="6">
        <f t="shared" si="33"/>
        <v>1030.431471694764</v>
      </c>
      <c r="U295" s="6">
        <f t="shared" si="34"/>
        <v>11.304314716947641</v>
      </c>
    </row>
    <row r="296" spans="1:21" x14ac:dyDescent="0.3">
      <c r="A296" s="2">
        <v>45530</v>
      </c>
      <c r="B296" t="s">
        <v>13</v>
      </c>
      <c r="C296" t="s">
        <v>18</v>
      </c>
      <c r="D296" t="s">
        <v>23</v>
      </c>
      <c r="E296" t="s">
        <v>29</v>
      </c>
      <c r="F296">
        <v>280548</v>
      </c>
      <c r="G296">
        <v>22400</v>
      </c>
      <c r="H296">
        <v>3381</v>
      </c>
      <c r="I296">
        <v>2001</v>
      </c>
      <c r="J296">
        <v>1115</v>
      </c>
      <c r="K296" s="4">
        <v>243363.91</v>
      </c>
      <c r="L296" s="4">
        <v>7580435.5999999996</v>
      </c>
      <c r="M296" t="s">
        <v>31</v>
      </c>
      <c r="N296">
        <f t="shared" si="28"/>
        <v>1</v>
      </c>
      <c r="O296" t="str">
        <f>IF(AND(G296&lt;=F296,H296&lt;=G296,I296&lt;=H296,J296&lt;=I296),"OK","Check")</f>
        <v>OK</v>
      </c>
      <c r="P296" s="6">
        <f t="shared" si="29"/>
        <v>7.984373440552063</v>
      </c>
      <c r="Q296" s="6">
        <f t="shared" si="30"/>
        <v>15.09375</v>
      </c>
      <c r="R296" s="6">
        <f t="shared" si="31"/>
        <v>59.183673469387756</v>
      </c>
      <c r="S296" s="6">
        <f t="shared" si="32"/>
        <v>55.72213893053474</v>
      </c>
      <c r="T296" s="6">
        <f t="shared" si="33"/>
        <v>3014.8561017120405</v>
      </c>
      <c r="U296" s="6">
        <f t="shared" si="34"/>
        <v>31.148561017120407</v>
      </c>
    </row>
    <row r="297" spans="1:21" x14ac:dyDescent="0.3">
      <c r="A297" s="2">
        <v>45530</v>
      </c>
      <c r="B297" t="s">
        <v>17</v>
      </c>
      <c r="C297" t="s">
        <v>22</v>
      </c>
      <c r="D297" t="s">
        <v>27</v>
      </c>
      <c r="E297" t="s">
        <v>29</v>
      </c>
      <c r="F297">
        <v>285397</v>
      </c>
      <c r="G297">
        <v>15333</v>
      </c>
      <c r="H297">
        <v>2569</v>
      </c>
      <c r="I297">
        <v>1619</v>
      </c>
      <c r="J297">
        <v>881</v>
      </c>
      <c r="K297" s="4">
        <v>167612.44</v>
      </c>
      <c r="L297" s="4">
        <v>5312696.4800000004</v>
      </c>
      <c r="M297" t="s">
        <v>31</v>
      </c>
      <c r="N297">
        <f t="shared" si="28"/>
        <v>1</v>
      </c>
      <c r="O297" t="str">
        <f>IF(AND(G297&lt;=F297,H297&lt;=G297,I297&lt;=H297,J297&lt;=I297),"OK","Check")</f>
        <v>OK</v>
      </c>
      <c r="P297" s="6">
        <f t="shared" si="29"/>
        <v>5.3725161792170208</v>
      </c>
      <c r="Q297" s="6">
        <f t="shared" si="30"/>
        <v>16.754712058957804</v>
      </c>
      <c r="R297" s="6">
        <f t="shared" si="31"/>
        <v>63.02063059556248</v>
      </c>
      <c r="S297" s="6">
        <f t="shared" si="32"/>
        <v>54.416306361951825</v>
      </c>
      <c r="T297" s="6">
        <f t="shared" si="33"/>
        <v>3069.6313710366608</v>
      </c>
      <c r="U297" s="6">
        <f t="shared" si="34"/>
        <v>31.696313710366606</v>
      </c>
    </row>
    <row r="298" spans="1:21" x14ac:dyDescent="0.3">
      <c r="A298" s="2">
        <v>45531</v>
      </c>
      <c r="B298" t="s">
        <v>13</v>
      </c>
      <c r="C298" t="s">
        <v>18</v>
      </c>
      <c r="D298" t="s">
        <v>23</v>
      </c>
      <c r="E298" t="s">
        <v>29</v>
      </c>
      <c r="F298">
        <v>230587</v>
      </c>
      <c r="G298">
        <v>11780</v>
      </c>
      <c r="H298">
        <v>2103</v>
      </c>
      <c r="I298">
        <v>985</v>
      </c>
      <c r="J298">
        <v>557</v>
      </c>
      <c r="K298" s="4">
        <v>170545.05</v>
      </c>
      <c r="L298" s="4">
        <v>2172105.58</v>
      </c>
      <c r="M298" t="s">
        <v>33</v>
      </c>
      <c r="N298">
        <f t="shared" si="28"/>
        <v>1</v>
      </c>
      <c r="O298" t="str">
        <f>IF(AND(G298&lt;=F298,H298&lt;=G298,I298&lt;=H298,J298&lt;=I298),"OK","Check")</f>
        <v>OK</v>
      </c>
      <c r="P298" s="6">
        <f t="shared" si="29"/>
        <v>5.1087008374279552</v>
      </c>
      <c r="Q298" s="6">
        <f t="shared" si="30"/>
        <v>17.852292020373515</v>
      </c>
      <c r="R298" s="6">
        <f t="shared" si="31"/>
        <v>46.837850689491198</v>
      </c>
      <c r="S298" s="6">
        <f t="shared" si="32"/>
        <v>56.548223350253814</v>
      </c>
      <c r="T298" s="6">
        <f t="shared" si="33"/>
        <v>1173.6256959671359</v>
      </c>
      <c r="U298" s="6">
        <f t="shared" si="34"/>
        <v>12.73625695967136</v>
      </c>
    </row>
    <row r="299" spans="1:21" x14ac:dyDescent="0.3">
      <c r="A299" s="2">
        <v>45531</v>
      </c>
      <c r="B299" t="s">
        <v>17</v>
      </c>
      <c r="C299" t="s">
        <v>22</v>
      </c>
      <c r="D299" t="s">
        <v>27</v>
      </c>
      <c r="E299" t="s">
        <v>28</v>
      </c>
      <c r="F299">
        <v>239102</v>
      </c>
      <c r="G299">
        <v>11777</v>
      </c>
      <c r="H299">
        <v>2683</v>
      </c>
      <c r="I299">
        <v>1443</v>
      </c>
      <c r="J299">
        <v>793</v>
      </c>
      <c r="K299" s="4">
        <v>178773.39</v>
      </c>
      <c r="L299" s="4">
        <v>6237099.54</v>
      </c>
      <c r="M299" t="s">
        <v>32</v>
      </c>
      <c r="N299">
        <f t="shared" si="28"/>
        <v>1</v>
      </c>
      <c r="O299" t="str">
        <f>IF(AND(G299&lt;=F299,H299&lt;=G299,I299&lt;=H299,J299&lt;=I299),"OK","Check")</f>
        <v>OK</v>
      </c>
      <c r="P299" s="6">
        <f t="shared" si="29"/>
        <v>4.925512960995726</v>
      </c>
      <c r="Q299" s="6">
        <f t="shared" si="30"/>
        <v>22.781693130678441</v>
      </c>
      <c r="R299" s="6">
        <f t="shared" si="31"/>
        <v>53.783078643309722</v>
      </c>
      <c r="S299" s="6">
        <f t="shared" si="32"/>
        <v>54.954954954954957</v>
      </c>
      <c r="T299" s="6">
        <f t="shared" si="33"/>
        <v>3388.8299315686745</v>
      </c>
      <c r="U299" s="6">
        <f t="shared" si="34"/>
        <v>34.888299315686744</v>
      </c>
    </row>
    <row r="300" spans="1:21" x14ac:dyDescent="0.3">
      <c r="A300" s="2">
        <v>45532</v>
      </c>
      <c r="B300" t="s">
        <v>13</v>
      </c>
      <c r="C300" t="s">
        <v>18</v>
      </c>
      <c r="D300" t="s">
        <v>23</v>
      </c>
      <c r="E300" t="s">
        <v>29</v>
      </c>
      <c r="F300">
        <v>122769</v>
      </c>
      <c r="G300">
        <v>4992</v>
      </c>
      <c r="H300">
        <v>1154</v>
      </c>
      <c r="I300">
        <v>639</v>
      </c>
      <c r="J300">
        <v>335</v>
      </c>
      <c r="K300" s="4">
        <v>76198.02</v>
      </c>
      <c r="L300" s="4">
        <v>1803614.19</v>
      </c>
      <c r="M300" t="s">
        <v>35</v>
      </c>
      <c r="N300">
        <f t="shared" si="28"/>
        <v>1</v>
      </c>
      <c r="O300" t="str">
        <f>IF(AND(G300&lt;=F300,H300&lt;=G300,I300&lt;=H300,J300&lt;=I300),"OK","Check")</f>
        <v>OK</v>
      </c>
      <c r="P300" s="6">
        <f t="shared" si="29"/>
        <v>4.0661730567162717</v>
      </c>
      <c r="Q300" s="6">
        <f t="shared" si="30"/>
        <v>23.116987179487182</v>
      </c>
      <c r="R300" s="6">
        <f t="shared" si="31"/>
        <v>55.372616984402079</v>
      </c>
      <c r="S300" s="6">
        <f t="shared" si="32"/>
        <v>52.425665101721442</v>
      </c>
      <c r="T300" s="6">
        <f t="shared" si="33"/>
        <v>2267.0092608705577</v>
      </c>
      <c r="U300" s="6">
        <f t="shared" si="34"/>
        <v>23.670092608705577</v>
      </c>
    </row>
    <row r="301" spans="1:21" x14ac:dyDescent="0.3">
      <c r="A301" s="2">
        <v>45532</v>
      </c>
      <c r="B301" t="s">
        <v>17</v>
      </c>
      <c r="C301" t="s">
        <v>22</v>
      </c>
      <c r="D301" t="s">
        <v>27</v>
      </c>
      <c r="E301" t="s">
        <v>30</v>
      </c>
      <c r="F301">
        <v>118445</v>
      </c>
      <c r="G301">
        <v>9312</v>
      </c>
      <c r="H301">
        <v>1796</v>
      </c>
      <c r="I301">
        <v>862</v>
      </c>
      <c r="J301">
        <v>394</v>
      </c>
      <c r="K301" s="4">
        <v>53888.89</v>
      </c>
      <c r="L301" s="4">
        <v>1248957.4099999999</v>
      </c>
      <c r="M301" t="s">
        <v>31</v>
      </c>
      <c r="N301">
        <f t="shared" si="28"/>
        <v>1</v>
      </c>
      <c r="O301" t="str">
        <f>IF(AND(G301&lt;=F301,H301&lt;=G301,I301&lt;=H301,J301&lt;=I301),"OK","Check")</f>
        <v>OK</v>
      </c>
      <c r="P301" s="6">
        <f t="shared" si="29"/>
        <v>7.861876820465195</v>
      </c>
      <c r="Q301" s="6">
        <f t="shared" si="30"/>
        <v>19.286941580756015</v>
      </c>
      <c r="R301" s="6">
        <f t="shared" si="31"/>
        <v>47.99554565701559</v>
      </c>
      <c r="S301" s="6">
        <f t="shared" si="32"/>
        <v>45.707656612529</v>
      </c>
      <c r="T301" s="6">
        <f t="shared" si="33"/>
        <v>2217.6528779865384</v>
      </c>
      <c r="U301" s="6">
        <f t="shared" si="34"/>
        <v>23.176528779865386</v>
      </c>
    </row>
    <row r="302" spans="1:21" x14ac:dyDescent="0.3">
      <c r="A302" s="2">
        <v>45533</v>
      </c>
      <c r="B302" t="s">
        <v>13</v>
      </c>
      <c r="C302" t="s">
        <v>18</v>
      </c>
      <c r="D302" t="s">
        <v>23</v>
      </c>
      <c r="E302" t="s">
        <v>29</v>
      </c>
      <c r="F302">
        <v>176924</v>
      </c>
      <c r="G302">
        <v>6002</v>
      </c>
      <c r="H302">
        <v>1405</v>
      </c>
      <c r="I302">
        <v>726</v>
      </c>
      <c r="J302">
        <v>305</v>
      </c>
      <c r="K302" s="4">
        <v>149271.1</v>
      </c>
      <c r="L302" s="4">
        <v>1316066.43</v>
      </c>
      <c r="M302" t="s">
        <v>31</v>
      </c>
      <c r="N302">
        <f t="shared" si="28"/>
        <v>1</v>
      </c>
      <c r="O302" t="str">
        <f>IF(AND(G302&lt;=F302,H302&lt;=G302,I302&lt;=H302,J302&lt;=I302),"OK","Check")</f>
        <v>OK</v>
      </c>
      <c r="P302" s="6">
        <f t="shared" si="29"/>
        <v>3.3924170830413063</v>
      </c>
      <c r="Q302" s="6">
        <f t="shared" si="30"/>
        <v>23.408863712095968</v>
      </c>
      <c r="R302" s="6">
        <f t="shared" si="31"/>
        <v>51.67259786476869</v>
      </c>
      <c r="S302" s="6">
        <f t="shared" si="32"/>
        <v>42.011019283746556</v>
      </c>
      <c r="T302" s="6">
        <f t="shared" si="33"/>
        <v>781.66190910363753</v>
      </c>
      <c r="U302" s="6">
        <f t="shared" si="34"/>
        <v>8.816619091036376</v>
      </c>
    </row>
    <row r="303" spans="1:21" x14ac:dyDescent="0.3">
      <c r="A303" s="2">
        <v>45533</v>
      </c>
      <c r="B303" t="s">
        <v>17</v>
      </c>
      <c r="C303" t="s">
        <v>22</v>
      </c>
      <c r="D303" t="s">
        <v>27</v>
      </c>
      <c r="E303" t="s">
        <v>29</v>
      </c>
      <c r="F303">
        <v>141835</v>
      </c>
      <c r="G303">
        <v>4781</v>
      </c>
      <c r="H303">
        <v>815</v>
      </c>
      <c r="I303">
        <v>412</v>
      </c>
      <c r="J303">
        <v>201</v>
      </c>
      <c r="K303" s="4">
        <v>71163.259999999995</v>
      </c>
      <c r="L303" s="4">
        <v>1195976.69</v>
      </c>
      <c r="M303" t="s">
        <v>35</v>
      </c>
      <c r="N303">
        <f t="shared" si="28"/>
        <v>1</v>
      </c>
      <c r="O303" t="str">
        <f>IF(AND(G303&lt;=F303,H303&lt;=G303,I303&lt;=H303,J303&lt;=I303),"OK","Check")</f>
        <v>OK</v>
      </c>
      <c r="P303" s="6">
        <f t="shared" si="29"/>
        <v>3.3708182042514192</v>
      </c>
      <c r="Q303" s="6">
        <f t="shared" si="30"/>
        <v>17.046642961723489</v>
      </c>
      <c r="R303" s="6">
        <f t="shared" si="31"/>
        <v>50.552147239263803</v>
      </c>
      <c r="S303" s="6">
        <f t="shared" si="32"/>
        <v>48.786407766990294</v>
      </c>
      <c r="T303" s="6">
        <f t="shared" si="33"/>
        <v>1580.6097556520037</v>
      </c>
      <c r="U303" s="6">
        <f t="shared" si="34"/>
        <v>16.806097556520037</v>
      </c>
    </row>
    <row r="304" spans="1:21" x14ac:dyDescent="0.3">
      <c r="A304" s="2">
        <v>45534</v>
      </c>
      <c r="B304" t="s">
        <v>13</v>
      </c>
      <c r="C304" t="s">
        <v>18</v>
      </c>
      <c r="D304" t="s">
        <v>23</v>
      </c>
      <c r="E304" t="s">
        <v>29</v>
      </c>
      <c r="F304">
        <v>89353</v>
      </c>
      <c r="G304">
        <v>3461</v>
      </c>
      <c r="H304">
        <v>777</v>
      </c>
      <c r="I304">
        <v>423</v>
      </c>
      <c r="J304">
        <v>218</v>
      </c>
      <c r="K304" s="4">
        <v>68408.44</v>
      </c>
      <c r="L304" s="4">
        <v>1404431.2</v>
      </c>
      <c r="M304" t="s">
        <v>35</v>
      </c>
      <c r="N304">
        <f t="shared" si="28"/>
        <v>1</v>
      </c>
      <c r="O304" t="str">
        <f>IF(AND(G304&lt;=F304,H304&lt;=G304,I304&lt;=H304,J304&lt;=I304),"OK","Check")</f>
        <v>OK</v>
      </c>
      <c r="P304" s="6">
        <f t="shared" si="29"/>
        <v>3.8734010050026302</v>
      </c>
      <c r="Q304" s="6">
        <f t="shared" si="30"/>
        <v>22.450158913608785</v>
      </c>
      <c r="R304" s="6">
        <f t="shared" si="31"/>
        <v>54.440154440154444</v>
      </c>
      <c r="S304" s="6">
        <f t="shared" si="32"/>
        <v>51.536643026004725</v>
      </c>
      <c r="T304" s="6">
        <f t="shared" si="33"/>
        <v>1953.0086638432333</v>
      </c>
      <c r="U304" s="6">
        <f t="shared" si="34"/>
        <v>20.530086638432334</v>
      </c>
    </row>
    <row r="305" spans="1:21" x14ac:dyDescent="0.3">
      <c r="A305" s="2">
        <v>45534</v>
      </c>
      <c r="B305" t="s">
        <v>17</v>
      </c>
      <c r="C305" t="s">
        <v>22</v>
      </c>
      <c r="D305" t="s">
        <v>27</v>
      </c>
      <c r="E305" t="s">
        <v>30</v>
      </c>
      <c r="F305">
        <v>172603</v>
      </c>
      <c r="G305">
        <v>13771</v>
      </c>
      <c r="H305">
        <v>3131</v>
      </c>
      <c r="I305">
        <v>1756</v>
      </c>
      <c r="J305">
        <v>957</v>
      </c>
      <c r="K305" s="4">
        <v>123949.96</v>
      </c>
      <c r="L305" s="4">
        <v>7284646.5</v>
      </c>
      <c r="M305" t="s">
        <v>34</v>
      </c>
      <c r="N305">
        <f t="shared" si="28"/>
        <v>1</v>
      </c>
      <c r="O305" t="str">
        <f>IF(AND(G305&lt;=F305,H305&lt;=G305,I305&lt;=H305,J305&lt;=I305),"OK","Check")</f>
        <v>OK</v>
      </c>
      <c r="P305" s="6">
        <f t="shared" si="29"/>
        <v>7.9784244769789643</v>
      </c>
      <c r="Q305" s="6">
        <f t="shared" si="30"/>
        <v>22.736184736039501</v>
      </c>
      <c r="R305" s="6">
        <f t="shared" si="31"/>
        <v>56.084318109230281</v>
      </c>
      <c r="S305" s="6">
        <f t="shared" si="32"/>
        <v>54.498861047835987</v>
      </c>
      <c r="T305" s="6">
        <f t="shared" si="33"/>
        <v>5777.0866081763961</v>
      </c>
      <c r="U305" s="6">
        <f t="shared" si="34"/>
        <v>58.770866081763963</v>
      </c>
    </row>
    <row r="306" spans="1:21" x14ac:dyDescent="0.3">
      <c r="A306" s="2">
        <v>45535</v>
      </c>
      <c r="B306" t="s">
        <v>13</v>
      </c>
      <c r="C306" t="s">
        <v>18</v>
      </c>
      <c r="D306" t="s">
        <v>23</v>
      </c>
      <c r="E306" t="s">
        <v>29</v>
      </c>
      <c r="F306">
        <v>275170</v>
      </c>
      <c r="G306">
        <v>8309</v>
      </c>
      <c r="H306">
        <v>2008</v>
      </c>
      <c r="I306">
        <v>1217</v>
      </c>
      <c r="J306">
        <v>654</v>
      </c>
      <c r="K306" s="4">
        <v>116652.11</v>
      </c>
      <c r="L306" s="4">
        <v>2196952.4</v>
      </c>
      <c r="M306" t="s">
        <v>33</v>
      </c>
      <c r="N306">
        <f t="shared" si="28"/>
        <v>1</v>
      </c>
      <c r="O306" t="str">
        <f>IF(AND(G306&lt;=F306,H306&lt;=G306,I306&lt;=H306,J306&lt;=I306),"OK","Check")</f>
        <v>OK</v>
      </c>
      <c r="P306" s="6">
        <f t="shared" si="29"/>
        <v>3.0195878911218519</v>
      </c>
      <c r="Q306" s="6">
        <f t="shared" si="30"/>
        <v>24.166566373811531</v>
      </c>
      <c r="R306" s="6">
        <f t="shared" si="31"/>
        <v>60.607569721115539</v>
      </c>
      <c r="S306" s="6">
        <f t="shared" si="32"/>
        <v>53.738701725554641</v>
      </c>
      <c r="T306" s="6">
        <f t="shared" si="33"/>
        <v>1783.3370437962931</v>
      </c>
      <c r="U306" s="6">
        <f t="shared" si="34"/>
        <v>18.83337043796293</v>
      </c>
    </row>
    <row r="307" spans="1:21" x14ac:dyDescent="0.3">
      <c r="A307" s="2">
        <v>45535</v>
      </c>
      <c r="B307" t="s">
        <v>17</v>
      </c>
      <c r="C307" t="s">
        <v>22</v>
      </c>
      <c r="D307" t="s">
        <v>27</v>
      </c>
      <c r="E307" t="s">
        <v>30</v>
      </c>
      <c r="F307">
        <v>188007</v>
      </c>
      <c r="G307">
        <v>12565</v>
      </c>
      <c r="H307">
        <v>2831</v>
      </c>
      <c r="I307">
        <v>1364</v>
      </c>
      <c r="J307">
        <v>556</v>
      </c>
      <c r="K307" s="4">
        <v>100933.35</v>
      </c>
      <c r="L307" s="4">
        <v>2063936.01</v>
      </c>
      <c r="M307" t="s">
        <v>33</v>
      </c>
      <c r="N307">
        <f t="shared" si="28"/>
        <v>1</v>
      </c>
      <c r="O307" t="str">
        <f>IF(AND(G307&lt;=F307,H307&lt;=G307,I307&lt;=H307,J307&lt;=I307),"OK","Check")</f>
        <v>OK</v>
      </c>
      <c r="P307" s="6">
        <f t="shared" si="29"/>
        <v>6.6832617934438607</v>
      </c>
      <c r="Q307" s="6">
        <f t="shared" si="30"/>
        <v>22.530839633903703</v>
      </c>
      <c r="R307" s="6">
        <f t="shared" si="31"/>
        <v>48.1808548216178</v>
      </c>
      <c r="S307" s="6">
        <f t="shared" si="32"/>
        <v>40.762463343108507</v>
      </c>
      <c r="T307" s="6">
        <f t="shared" si="33"/>
        <v>1944.8503988027742</v>
      </c>
      <c r="U307" s="6">
        <f t="shared" si="34"/>
        <v>20.448503988027742</v>
      </c>
    </row>
    <row r="308" spans="1:21" x14ac:dyDescent="0.3">
      <c r="A308" s="2">
        <v>45536</v>
      </c>
      <c r="B308" t="s">
        <v>17</v>
      </c>
      <c r="C308" t="s">
        <v>22</v>
      </c>
      <c r="D308" t="s">
        <v>27</v>
      </c>
      <c r="E308" t="s">
        <v>30</v>
      </c>
      <c r="F308">
        <v>277995</v>
      </c>
      <c r="G308">
        <v>17323</v>
      </c>
      <c r="H308">
        <v>3307</v>
      </c>
      <c r="I308">
        <v>1962</v>
      </c>
      <c r="J308">
        <v>807</v>
      </c>
      <c r="K308" s="4">
        <v>119949.55</v>
      </c>
      <c r="L308" s="4">
        <v>3907589.22</v>
      </c>
      <c r="M308" t="s">
        <v>35</v>
      </c>
      <c r="N308">
        <f t="shared" si="28"/>
        <v>1</v>
      </c>
      <c r="O308" t="str">
        <f>IF(AND(G308&lt;=F308,H308&lt;=G308,I308&lt;=H308,J308&lt;=I308),"OK","Check")</f>
        <v>OK</v>
      </c>
      <c r="P308" s="6">
        <f t="shared" si="29"/>
        <v>6.2314070396949583</v>
      </c>
      <c r="Q308" s="6">
        <f t="shared" si="30"/>
        <v>19.09022686601628</v>
      </c>
      <c r="R308" s="6">
        <f t="shared" si="31"/>
        <v>59.328696703961292</v>
      </c>
      <c r="S308" s="6">
        <f t="shared" si="32"/>
        <v>41.131498470948017</v>
      </c>
      <c r="T308" s="6">
        <f t="shared" si="33"/>
        <v>3157.693938826782</v>
      </c>
      <c r="U308" s="6">
        <f t="shared" si="34"/>
        <v>32.576939388267817</v>
      </c>
    </row>
    <row r="309" spans="1:21" x14ac:dyDescent="0.3">
      <c r="A309" s="2">
        <v>45537</v>
      </c>
      <c r="B309" t="s">
        <v>17</v>
      </c>
      <c r="C309" t="s">
        <v>22</v>
      </c>
      <c r="D309" t="s">
        <v>27</v>
      </c>
      <c r="E309" t="s">
        <v>29</v>
      </c>
      <c r="F309">
        <v>204641</v>
      </c>
      <c r="G309">
        <v>14981</v>
      </c>
      <c r="H309">
        <v>3396</v>
      </c>
      <c r="I309">
        <v>1681</v>
      </c>
      <c r="J309">
        <v>682</v>
      </c>
      <c r="K309" s="4">
        <v>155414.22</v>
      </c>
      <c r="L309" s="4">
        <v>5373759.0999999996</v>
      </c>
      <c r="M309" t="s">
        <v>31</v>
      </c>
      <c r="N309">
        <f t="shared" si="28"/>
        <v>1</v>
      </c>
      <c r="O309" t="str">
        <f>IF(AND(G309&lt;=F309,H309&lt;=G309,I309&lt;=H309,J309&lt;=I309),"OK","Check")</f>
        <v>OK</v>
      </c>
      <c r="P309" s="6">
        <f t="shared" si="29"/>
        <v>7.3206248992137457</v>
      </c>
      <c r="Q309" s="6">
        <f t="shared" si="30"/>
        <v>22.668713704025098</v>
      </c>
      <c r="R309" s="6">
        <f t="shared" si="31"/>
        <v>49.499411071849238</v>
      </c>
      <c r="S309" s="6">
        <f t="shared" si="32"/>
        <v>40.571088637715647</v>
      </c>
      <c r="T309" s="6">
        <f t="shared" si="33"/>
        <v>3357.7010391970566</v>
      </c>
      <c r="U309" s="6">
        <f t="shared" si="34"/>
        <v>34.577010391970568</v>
      </c>
    </row>
    <row r="310" spans="1:21" x14ac:dyDescent="0.3">
      <c r="A310" s="2">
        <v>45538</v>
      </c>
      <c r="B310" t="s">
        <v>17</v>
      </c>
      <c r="C310" t="s">
        <v>22</v>
      </c>
      <c r="D310" t="s">
        <v>27</v>
      </c>
      <c r="E310" t="s">
        <v>28</v>
      </c>
      <c r="F310">
        <v>80461</v>
      </c>
      <c r="G310">
        <v>5310</v>
      </c>
      <c r="H310">
        <v>1043</v>
      </c>
      <c r="I310">
        <v>626</v>
      </c>
      <c r="J310">
        <v>251</v>
      </c>
      <c r="K310" s="4">
        <v>56362.02</v>
      </c>
      <c r="L310" s="4">
        <v>988491.69</v>
      </c>
      <c r="M310" t="s">
        <v>35</v>
      </c>
      <c r="N310">
        <f t="shared" si="28"/>
        <v>1</v>
      </c>
      <c r="O310" t="str">
        <f>IF(AND(G310&lt;=F310,H310&lt;=G310,I310&lt;=H310,J310&lt;=I310),"OK","Check")</f>
        <v>OK</v>
      </c>
      <c r="P310" s="6">
        <f t="shared" si="29"/>
        <v>6.5994705509501497</v>
      </c>
      <c r="Q310" s="6">
        <f t="shared" si="30"/>
        <v>19.642184557438792</v>
      </c>
      <c r="R310" s="6">
        <f t="shared" si="31"/>
        <v>60.019175455417063</v>
      </c>
      <c r="S310" s="6">
        <f t="shared" si="32"/>
        <v>40.095846645367409</v>
      </c>
      <c r="T310" s="6">
        <f t="shared" si="33"/>
        <v>1653.8258742323287</v>
      </c>
      <c r="U310" s="6">
        <f t="shared" si="34"/>
        <v>17.538258742323286</v>
      </c>
    </row>
    <row r="311" spans="1:21" x14ac:dyDescent="0.3">
      <c r="A311" s="2">
        <v>45539</v>
      </c>
      <c r="B311" t="s">
        <v>17</v>
      </c>
      <c r="C311" t="s">
        <v>22</v>
      </c>
      <c r="D311" t="s">
        <v>27</v>
      </c>
      <c r="E311" t="s">
        <v>29</v>
      </c>
      <c r="F311">
        <v>225116</v>
      </c>
      <c r="G311">
        <v>11836</v>
      </c>
      <c r="H311">
        <v>2871</v>
      </c>
      <c r="I311">
        <v>1828</v>
      </c>
      <c r="J311">
        <v>993</v>
      </c>
      <c r="K311" s="4">
        <v>145813.18</v>
      </c>
      <c r="L311" s="4">
        <v>7254951.4199999999</v>
      </c>
      <c r="M311" t="s">
        <v>32</v>
      </c>
      <c r="N311">
        <f t="shared" si="28"/>
        <v>1</v>
      </c>
      <c r="O311" t="str">
        <f>IF(AND(G311&lt;=F311,H311&lt;=G311,I311&lt;=H311,J311&lt;=I311),"OK","Check")</f>
        <v>OK</v>
      </c>
      <c r="P311" s="6">
        <f t="shared" si="29"/>
        <v>5.2577337905790795</v>
      </c>
      <c r="Q311" s="6">
        <f t="shared" si="30"/>
        <v>24.25650557620818</v>
      </c>
      <c r="R311" s="6">
        <f t="shared" si="31"/>
        <v>63.671194705677472</v>
      </c>
      <c r="S311" s="6">
        <f t="shared" si="32"/>
        <v>54.321663019693659</v>
      </c>
      <c r="T311" s="6">
        <f t="shared" si="33"/>
        <v>4875.5114181036315</v>
      </c>
      <c r="U311" s="6">
        <f t="shared" si="34"/>
        <v>49.755114181036312</v>
      </c>
    </row>
    <row r="312" spans="1:21" x14ac:dyDescent="0.3">
      <c r="A312" s="2">
        <v>45540</v>
      </c>
      <c r="B312" t="s">
        <v>17</v>
      </c>
      <c r="C312" t="s">
        <v>22</v>
      </c>
      <c r="D312" t="s">
        <v>27</v>
      </c>
      <c r="E312" t="s">
        <v>29</v>
      </c>
      <c r="F312">
        <v>116737</v>
      </c>
      <c r="G312">
        <v>9182</v>
      </c>
      <c r="H312">
        <v>1836</v>
      </c>
      <c r="I312">
        <v>1173</v>
      </c>
      <c r="J312">
        <v>621</v>
      </c>
      <c r="K312" s="4">
        <v>99175.679999999993</v>
      </c>
      <c r="L312" s="4">
        <v>2537615.16</v>
      </c>
      <c r="M312" t="s">
        <v>32</v>
      </c>
      <c r="N312">
        <f t="shared" si="28"/>
        <v>1</v>
      </c>
      <c r="O312" t="str">
        <f>IF(AND(G312&lt;=F312,H312&lt;=G312,I312&lt;=H312,J312&lt;=I312),"OK","Check")</f>
        <v>OK</v>
      </c>
      <c r="P312" s="6">
        <f t="shared" si="29"/>
        <v>7.8655439149541273</v>
      </c>
      <c r="Q312" s="6">
        <f t="shared" si="30"/>
        <v>19.995643650620778</v>
      </c>
      <c r="R312" s="6">
        <f t="shared" si="31"/>
        <v>63.888888888888886</v>
      </c>
      <c r="S312" s="6">
        <f t="shared" si="32"/>
        <v>52.941176470588239</v>
      </c>
      <c r="T312" s="6">
        <f t="shared" si="33"/>
        <v>2458.7070943198983</v>
      </c>
      <c r="U312" s="6">
        <f t="shared" si="34"/>
        <v>25.587070943198981</v>
      </c>
    </row>
    <row r="313" spans="1:21" x14ac:dyDescent="0.3">
      <c r="A313" s="2">
        <v>45541</v>
      </c>
      <c r="B313" t="s">
        <v>17</v>
      </c>
      <c r="C313" t="s">
        <v>22</v>
      </c>
      <c r="D313" t="s">
        <v>27</v>
      </c>
      <c r="E313" t="s">
        <v>28</v>
      </c>
      <c r="F313">
        <v>63297</v>
      </c>
      <c r="G313">
        <v>4534</v>
      </c>
      <c r="H313">
        <v>954</v>
      </c>
      <c r="I313">
        <v>479</v>
      </c>
      <c r="J313">
        <v>279</v>
      </c>
      <c r="K313" s="4">
        <v>50866.84</v>
      </c>
      <c r="L313" s="4">
        <v>2142106.16</v>
      </c>
      <c r="M313" t="s">
        <v>31</v>
      </c>
      <c r="N313">
        <f t="shared" si="28"/>
        <v>1</v>
      </c>
      <c r="O313" t="str">
        <f>IF(AND(G313&lt;=F313,H313&lt;=G313,I313&lt;=H313,J313&lt;=I313),"OK","Check")</f>
        <v>OK</v>
      </c>
      <c r="P313" s="6">
        <f t="shared" si="29"/>
        <v>7.1630567009494923</v>
      </c>
      <c r="Q313" s="6">
        <f t="shared" si="30"/>
        <v>21.041023378914865</v>
      </c>
      <c r="R313" s="6">
        <f t="shared" si="31"/>
        <v>50.209643605870028</v>
      </c>
      <c r="S313" s="6">
        <f t="shared" si="32"/>
        <v>58.246346555323591</v>
      </c>
      <c r="T313" s="6">
        <f t="shared" si="33"/>
        <v>4111.2035266983366</v>
      </c>
      <c r="U313" s="6">
        <f t="shared" si="34"/>
        <v>42.112035266983369</v>
      </c>
    </row>
    <row r="314" spans="1:21" x14ac:dyDescent="0.3">
      <c r="A314" s="2">
        <v>45542</v>
      </c>
      <c r="B314" t="s">
        <v>17</v>
      </c>
      <c r="C314" t="s">
        <v>22</v>
      </c>
      <c r="D314" t="s">
        <v>27</v>
      </c>
      <c r="E314" t="s">
        <v>28</v>
      </c>
      <c r="F314">
        <v>58123</v>
      </c>
      <c r="G314">
        <v>2245</v>
      </c>
      <c r="H314">
        <v>487</v>
      </c>
      <c r="I314">
        <v>238</v>
      </c>
      <c r="J314">
        <v>102</v>
      </c>
      <c r="K314" s="4">
        <v>48037.73</v>
      </c>
      <c r="L314" s="4">
        <v>806657.5</v>
      </c>
      <c r="M314" t="s">
        <v>34</v>
      </c>
      <c r="N314">
        <f t="shared" si="28"/>
        <v>1</v>
      </c>
      <c r="O314" t="str">
        <f>IF(AND(G314&lt;=F314,H314&lt;=G314,I314&lt;=H314,J314&lt;=I314),"OK","Check")</f>
        <v>OK</v>
      </c>
      <c r="P314" s="6">
        <f t="shared" si="29"/>
        <v>3.8624984945718559</v>
      </c>
      <c r="Q314" s="6">
        <f t="shared" si="30"/>
        <v>21.692650334075726</v>
      </c>
      <c r="R314" s="6">
        <f t="shared" si="31"/>
        <v>48.870636550308014</v>
      </c>
      <c r="S314" s="6">
        <f t="shared" si="32"/>
        <v>42.857142857142854</v>
      </c>
      <c r="T314" s="6">
        <f t="shared" si="33"/>
        <v>1579.2165241779742</v>
      </c>
      <c r="U314" s="6">
        <f t="shared" si="34"/>
        <v>16.792165241779742</v>
      </c>
    </row>
    <row r="315" spans="1:21" x14ac:dyDescent="0.3">
      <c r="A315" s="2">
        <v>45543</v>
      </c>
      <c r="B315" t="s">
        <v>17</v>
      </c>
      <c r="C315" t="s">
        <v>22</v>
      </c>
      <c r="D315" t="s">
        <v>27</v>
      </c>
      <c r="E315" t="s">
        <v>29</v>
      </c>
      <c r="F315">
        <v>245747</v>
      </c>
      <c r="G315">
        <v>19560</v>
      </c>
      <c r="H315">
        <v>3600</v>
      </c>
      <c r="I315">
        <v>2070</v>
      </c>
      <c r="J315">
        <v>927</v>
      </c>
      <c r="K315" s="4">
        <v>200843.09</v>
      </c>
      <c r="L315" s="4">
        <v>3867146.21</v>
      </c>
      <c r="M315" t="s">
        <v>34</v>
      </c>
      <c r="N315">
        <f t="shared" si="28"/>
        <v>1</v>
      </c>
      <c r="O315" t="str">
        <f>IF(AND(G315&lt;=F315,H315&lt;=G315,I315&lt;=H315,J315&lt;=I315),"OK","Check")</f>
        <v>OK</v>
      </c>
      <c r="P315" s="6">
        <f t="shared" si="29"/>
        <v>7.9594054047455316</v>
      </c>
      <c r="Q315" s="6">
        <f t="shared" si="30"/>
        <v>18.404907975460123</v>
      </c>
      <c r="R315" s="6">
        <f t="shared" si="31"/>
        <v>57.499999999999993</v>
      </c>
      <c r="S315" s="6">
        <f t="shared" si="32"/>
        <v>44.782608695652179</v>
      </c>
      <c r="T315" s="6">
        <f t="shared" si="33"/>
        <v>1825.4564396514713</v>
      </c>
      <c r="U315" s="6">
        <f t="shared" si="34"/>
        <v>19.254564396514713</v>
      </c>
    </row>
    <row r="316" spans="1:21" x14ac:dyDescent="0.3">
      <c r="A316" s="2">
        <v>45544</v>
      </c>
      <c r="B316" t="s">
        <v>17</v>
      </c>
      <c r="C316" t="s">
        <v>22</v>
      </c>
      <c r="D316" t="s">
        <v>27</v>
      </c>
      <c r="E316" t="s">
        <v>29</v>
      </c>
      <c r="F316">
        <v>84497</v>
      </c>
      <c r="G316">
        <v>2556</v>
      </c>
      <c r="H316">
        <v>527</v>
      </c>
      <c r="I316">
        <v>306</v>
      </c>
      <c r="J316">
        <v>147</v>
      </c>
      <c r="K316" s="4">
        <v>40400.53</v>
      </c>
      <c r="L316" s="4">
        <v>517443.61</v>
      </c>
      <c r="M316" t="s">
        <v>35</v>
      </c>
      <c r="N316">
        <f t="shared" si="28"/>
        <v>1</v>
      </c>
      <c r="O316" t="str">
        <f>IF(AND(G316&lt;=F316,H316&lt;=G316,I316&lt;=H316,J316&lt;=I316),"OK","Check")</f>
        <v>OK</v>
      </c>
      <c r="P316" s="6">
        <f t="shared" si="29"/>
        <v>3.0249594660165453</v>
      </c>
      <c r="Q316" s="6">
        <f t="shared" si="30"/>
        <v>20.618153364632239</v>
      </c>
      <c r="R316" s="6">
        <f t="shared" si="31"/>
        <v>58.064516129032263</v>
      </c>
      <c r="S316" s="6">
        <f t="shared" si="32"/>
        <v>48.03921568627451</v>
      </c>
      <c r="T316" s="6">
        <f t="shared" si="33"/>
        <v>1180.7842124843412</v>
      </c>
      <c r="U316" s="6">
        <f t="shared" si="34"/>
        <v>12.807842124843411</v>
      </c>
    </row>
    <row r="317" spans="1:21" x14ac:dyDescent="0.3">
      <c r="A317" s="2">
        <v>45545</v>
      </c>
      <c r="B317" t="s">
        <v>17</v>
      </c>
      <c r="C317" t="s">
        <v>22</v>
      </c>
      <c r="D317" t="s">
        <v>27</v>
      </c>
      <c r="E317" t="s">
        <v>29</v>
      </c>
      <c r="F317">
        <v>241659</v>
      </c>
      <c r="G317">
        <v>17679</v>
      </c>
      <c r="H317">
        <v>2873</v>
      </c>
      <c r="I317">
        <v>1586</v>
      </c>
      <c r="J317">
        <v>722</v>
      </c>
      <c r="K317" s="4">
        <v>135221.60999999999</v>
      </c>
      <c r="L317" s="4">
        <v>4879841.2300000004</v>
      </c>
      <c r="M317" t="s">
        <v>35</v>
      </c>
      <c r="N317">
        <f t="shared" si="28"/>
        <v>1</v>
      </c>
      <c r="O317" t="str">
        <f>IF(AND(G317&lt;=F317,H317&lt;=G317,I317&lt;=H317,J317&lt;=I317),"OK","Check")</f>
        <v>OK</v>
      </c>
      <c r="P317" s="6">
        <f t="shared" si="29"/>
        <v>7.3156803595148538</v>
      </c>
      <c r="Q317" s="6">
        <f t="shared" si="30"/>
        <v>16.25091916963629</v>
      </c>
      <c r="R317" s="6">
        <f t="shared" si="31"/>
        <v>55.203619909502265</v>
      </c>
      <c r="S317" s="6">
        <f t="shared" si="32"/>
        <v>45.523329129886505</v>
      </c>
      <c r="T317" s="6">
        <f t="shared" si="33"/>
        <v>3508.7732057028461</v>
      </c>
      <c r="U317" s="6">
        <f t="shared" si="34"/>
        <v>36.087732057028468</v>
      </c>
    </row>
    <row r="318" spans="1:21" x14ac:dyDescent="0.3">
      <c r="A318" s="2">
        <v>45546</v>
      </c>
      <c r="B318" t="s">
        <v>17</v>
      </c>
      <c r="C318" t="s">
        <v>22</v>
      </c>
      <c r="D318" t="s">
        <v>27</v>
      </c>
      <c r="E318" t="s">
        <v>28</v>
      </c>
      <c r="F318">
        <v>65507</v>
      </c>
      <c r="G318">
        <v>2625</v>
      </c>
      <c r="H318">
        <v>419</v>
      </c>
      <c r="I318">
        <v>269</v>
      </c>
      <c r="J318">
        <v>116</v>
      </c>
      <c r="K318" s="4">
        <v>58810.83</v>
      </c>
      <c r="L318" s="4">
        <v>812926.32</v>
      </c>
      <c r="M318" t="s">
        <v>34</v>
      </c>
      <c r="N318">
        <f t="shared" si="28"/>
        <v>1</v>
      </c>
      <c r="O318" t="str">
        <f>IF(AND(G318&lt;=F318,H318&lt;=G318,I318&lt;=H318,J318&lt;=I318),"OK","Check")</f>
        <v>OK</v>
      </c>
      <c r="P318" s="6">
        <f t="shared" si="29"/>
        <v>4.0072053368342315</v>
      </c>
      <c r="Q318" s="6">
        <f t="shared" si="30"/>
        <v>15.961904761904764</v>
      </c>
      <c r="R318" s="6">
        <f t="shared" si="31"/>
        <v>64.200477326968979</v>
      </c>
      <c r="S318" s="6">
        <f t="shared" si="32"/>
        <v>43.122676579925653</v>
      </c>
      <c r="T318" s="6">
        <f t="shared" si="33"/>
        <v>1282.2731629531497</v>
      </c>
      <c r="U318" s="6">
        <f t="shared" si="34"/>
        <v>13.822731629531498</v>
      </c>
    </row>
    <row r="319" spans="1:21" x14ac:dyDescent="0.3">
      <c r="A319" s="2">
        <v>45547</v>
      </c>
      <c r="B319" t="s">
        <v>17</v>
      </c>
      <c r="C319" t="s">
        <v>22</v>
      </c>
      <c r="D319" t="s">
        <v>27</v>
      </c>
      <c r="E319" t="s">
        <v>29</v>
      </c>
      <c r="F319">
        <v>89606</v>
      </c>
      <c r="G319">
        <v>3064</v>
      </c>
      <c r="H319">
        <v>523</v>
      </c>
      <c r="I319">
        <v>302</v>
      </c>
      <c r="J319">
        <v>174</v>
      </c>
      <c r="K319" s="4">
        <v>82237.509999999995</v>
      </c>
      <c r="L319" s="4">
        <v>1090015.6399999999</v>
      </c>
      <c r="M319" t="s">
        <v>31</v>
      </c>
      <c r="N319">
        <f t="shared" si="28"/>
        <v>1</v>
      </c>
      <c r="O319" t="str">
        <f>IF(AND(G319&lt;=F319,H319&lt;=G319,I319&lt;=H319,J319&lt;=I319),"OK","Check")</f>
        <v>OK</v>
      </c>
      <c r="P319" s="6">
        <f t="shared" si="29"/>
        <v>3.4194138785349195</v>
      </c>
      <c r="Q319" s="6">
        <f t="shared" si="30"/>
        <v>17.069190600522195</v>
      </c>
      <c r="R319" s="6">
        <f t="shared" si="31"/>
        <v>57.743785850860419</v>
      </c>
      <c r="S319" s="6">
        <f t="shared" si="32"/>
        <v>57.615894039735096</v>
      </c>
      <c r="T319" s="6">
        <f t="shared" si="33"/>
        <v>1225.4482534794645</v>
      </c>
      <c r="U319" s="6">
        <f t="shared" si="34"/>
        <v>13.254482534794645</v>
      </c>
    </row>
    <row r="320" spans="1:21" x14ac:dyDescent="0.3">
      <c r="A320" s="2">
        <v>45548</v>
      </c>
      <c r="B320" t="s">
        <v>17</v>
      </c>
      <c r="C320" t="s">
        <v>22</v>
      </c>
      <c r="D320" t="s">
        <v>27</v>
      </c>
      <c r="E320" t="s">
        <v>30</v>
      </c>
      <c r="F320">
        <v>288944</v>
      </c>
      <c r="G320">
        <v>22296</v>
      </c>
      <c r="H320">
        <v>3936</v>
      </c>
      <c r="I320">
        <v>2456</v>
      </c>
      <c r="J320">
        <v>1336</v>
      </c>
      <c r="K320" s="4">
        <v>268441.11</v>
      </c>
      <c r="L320" s="4">
        <v>10200618.609999999</v>
      </c>
      <c r="M320" t="s">
        <v>33</v>
      </c>
      <c r="N320">
        <f t="shared" si="28"/>
        <v>1</v>
      </c>
      <c r="O320" t="str">
        <f>IF(AND(G320&lt;=F320,H320&lt;=G320,I320&lt;=H320,J320&lt;=I320),"OK","Check")</f>
        <v>OK</v>
      </c>
      <c r="P320" s="6">
        <f t="shared" si="29"/>
        <v>7.7163741070934151</v>
      </c>
      <c r="Q320" s="6">
        <f t="shared" si="30"/>
        <v>17.653390742734125</v>
      </c>
      <c r="R320" s="6">
        <f t="shared" si="31"/>
        <v>62.398373983739845</v>
      </c>
      <c r="S320" s="6">
        <f t="shared" si="32"/>
        <v>54.397394136807819</v>
      </c>
      <c r="T320" s="6">
        <f t="shared" si="33"/>
        <v>3699.9465171336838</v>
      </c>
      <c r="U320" s="6">
        <f t="shared" si="34"/>
        <v>37.999465171336837</v>
      </c>
    </row>
    <row r="321" spans="1:21" x14ac:dyDescent="0.3">
      <c r="A321" s="2">
        <v>45549</v>
      </c>
      <c r="B321" t="s">
        <v>17</v>
      </c>
      <c r="C321" t="s">
        <v>22</v>
      </c>
      <c r="D321" t="s">
        <v>27</v>
      </c>
      <c r="E321" t="s">
        <v>30</v>
      </c>
      <c r="F321">
        <v>61065</v>
      </c>
      <c r="G321">
        <v>3349</v>
      </c>
      <c r="H321">
        <v>511</v>
      </c>
      <c r="I321">
        <v>253</v>
      </c>
      <c r="J321">
        <v>103</v>
      </c>
      <c r="K321" s="4">
        <v>50674.5</v>
      </c>
      <c r="L321" s="4">
        <v>618470.9</v>
      </c>
      <c r="M321" t="s">
        <v>35</v>
      </c>
      <c r="N321">
        <f t="shared" si="28"/>
        <v>1</v>
      </c>
      <c r="O321" t="str">
        <f>IF(AND(G321&lt;=F321,H321&lt;=G321,I321&lt;=H321,J321&lt;=I321),"OK","Check")</f>
        <v>OK</v>
      </c>
      <c r="P321" s="6">
        <f t="shared" si="29"/>
        <v>5.4843199868992061</v>
      </c>
      <c r="Q321" s="6">
        <f t="shared" si="30"/>
        <v>15.258286055538967</v>
      </c>
      <c r="R321" s="6">
        <f t="shared" si="31"/>
        <v>49.510763209393346</v>
      </c>
      <c r="S321" s="6">
        <f t="shared" si="32"/>
        <v>40.711462450592883</v>
      </c>
      <c r="T321" s="6">
        <f t="shared" si="33"/>
        <v>1120.4775577460064</v>
      </c>
      <c r="U321" s="6">
        <f t="shared" si="34"/>
        <v>12.204775577460063</v>
      </c>
    </row>
    <row r="322" spans="1:21" x14ac:dyDescent="0.3">
      <c r="A322" s="2">
        <v>45550</v>
      </c>
      <c r="B322" t="s">
        <v>17</v>
      </c>
      <c r="C322" t="s">
        <v>22</v>
      </c>
      <c r="D322" t="s">
        <v>27</v>
      </c>
      <c r="E322" t="s">
        <v>29</v>
      </c>
      <c r="F322">
        <v>52998</v>
      </c>
      <c r="G322">
        <v>2691</v>
      </c>
      <c r="H322">
        <v>556</v>
      </c>
      <c r="I322">
        <v>360</v>
      </c>
      <c r="J322">
        <v>169</v>
      </c>
      <c r="K322" s="4">
        <v>42374.05</v>
      </c>
      <c r="L322" s="4">
        <v>1263776.46</v>
      </c>
      <c r="M322" t="s">
        <v>32</v>
      </c>
      <c r="N322">
        <f t="shared" si="28"/>
        <v>1</v>
      </c>
      <c r="O322" t="str">
        <f>IF(AND(G322&lt;=F322,H322&lt;=G322,I322&lt;=H322,J322&lt;=I322),"OK","Check")</f>
        <v>OK</v>
      </c>
      <c r="P322" s="6">
        <f t="shared" si="29"/>
        <v>5.0775500962300466</v>
      </c>
      <c r="Q322" s="6">
        <f t="shared" si="30"/>
        <v>20.661464139725009</v>
      </c>
      <c r="R322" s="6">
        <f t="shared" si="31"/>
        <v>64.748201438848923</v>
      </c>
      <c r="S322" s="6">
        <f t="shared" si="32"/>
        <v>46.944444444444443</v>
      </c>
      <c r="T322" s="6">
        <f t="shared" si="33"/>
        <v>2882.4301901753547</v>
      </c>
      <c r="U322" s="6">
        <f t="shared" si="34"/>
        <v>29.824301901753547</v>
      </c>
    </row>
    <row r="323" spans="1:21" x14ac:dyDescent="0.3">
      <c r="A323" s="2">
        <v>45551</v>
      </c>
      <c r="B323" t="s">
        <v>17</v>
      </c>
      <c r="C323" t="s">
        <v>22</v>
      </c>
      <c r="D323" t="s">
        <v>27</v>
      </c>
      <c r="E323" t="s">
        <v>29</v>
      </c>
      <c r="F323">
        <v>188733</v>
      </c>
      <c r="G323">
        <v>6063</v>
      </c>
      <c r="H323">
        <v>1486</v>
      </c>
      <c r="I323">
        <v>848</v>
      </c>
      <c r="J323">
        <v>495</v>
      </c>
      <c r="K323" s="4">
        <v>117044.6</v>
      </c>
      <c r="L323" s="4">
        <v>1718164.73</v>
      </c>
      <c r="M323" t="s">
        <v>34</v>
      </c>
      <c r="N323">
        <f t="shared" ref="N323:N386" si="35">COUNTIFS(A:A,A323,B:B,B323,C:C,C323,D:D,D323,E:E,E323,F:F,F323,G:G,G323,H:H,H323,I:I,I323,J:J,J323,K:K,K323,L:L,L323,M:M,M323)</f>
        <v>1</v>
      </c>
      <c r="O323" t="str">
        <f>IF(AND(G323&lt;=F323,H323&lt;=G323,I323&lt;=H323,J323&lt;=I323),"OK","Check")</f>
        <v>OK</v>
      </c>
      <c r="P323" s="6">
        <f t="shared" ref="P323:P386" si="36">IFERROR(G323/F323*100,0)</f>
        <v>3.2124747659391844</v>
      </c>
      <c r="Q323" s="6">
        <f t="shared" ref="Q323:Q386" si="37">IFERROR(H323/G323*100,0)</f>
        <v>24.509318819066468</v>
      </c>
      <c r="R323" s="6">
        <f t="shared" ref="R323:R386" si="38">IFERROR(I323/H323*100,0)</f>
        <v>57.065948855989234</v>
      </c>
      <c r="S323" s="6">
        <f t="shared" ref="S323:S386" si="39">IFERROR(J323/I323*100,0)</f>
        <v>58.372641509433961</v>
      </c>
      <c r="T323" s="6">
        <f t="shared" ref="T323:T386" si="40">IFERROR((L323-K323)/K323*100,0)</f>
        <v>1367.9572829502599</v>
      </c>
      <c r="U323" s="6">
        <f t="shared" ref="U323:U386" si="41">IFERROR(L323/K323,0)</f>
        <v>14.679572829502598</v>
      </c>
    </row>
    <row r="324" spans="1:21" x14ac:dyDescent="0.3">
      <c r="A324" s="2">
        <v>45552</v>
      </c>
      <c r="B324" t="s">
        <v>17</v>
      </c>
      <c r="C324" t="s">
        <v>22</v>
      </c>
      <c r="D324" t="s">
        <v>27</v>
      </c>
      <c r="E324" t="s">
        <v>28</v>
      </c>
      <c r="F324">
        <v>264523</v>
      </c>
      <c r="G324">
        <v>8422</v>
      </c>
      <c r="H324">
        <v>1397</v>
      </c>
      <c r="I324">
        <v>690</v>
      </c>
      <c r="J324">
        <v>285</v>
      </c>
      <c r="K324" s="4">
        <v>174372.08</v>
      </c>
      <c r="L324" s="4">
        <v>2190322.56</v>
      </c>
      <c r="M324" t="s">
        <v>33</v>
      </c>
      <c r="N324">
        <f t="shared" si="35"/>
        <v>1</v>
      </c>
      <c r="O324" t="str">
        <f>IF(AND(G324&lt;=F324,H324&lt;=G324,I324&lt;=H324,J324&lt;=I324),"OK","Check")</f>
        <v>OK</v>
      </c>
      <c r="P324" s="6">
        <f t="shared" si="36"/>
        <v>3.1838441269757261</v>
      </c>
      <c r="Q324" s="6">
        <f t="shared" si="37"/>
        <v>16.587508905248161</v>
      </c>
      <c r="R324" s="6">
        <f t="shared" si="38"/>
        <v>49.391553328561209</v>
      </c>
      <c r="S324" s="6">
        <f t="shared" si="39"/>
        <v>41.304347826086953</v>
      </c>
      <c r="T324" s="6">
        <f t="shared" si="40"/>
        <v>1156.1199935218988</v>
      </c>
      <c r="U324" s="6">
        <f t="shared" si="41"/>
        <v>12.561199935218989</v>
      </c>
    </row>
    <row r="325" spans="1:21" x14ac:dyDescent="0.3">
      <c r="A325" s="2">
        <v>45553</v>
      </c>
      <c r="B325" t="s">
        <v>17</v>
      </c>
      <c r="C325" t="s">
        <v>22</v>
      </c>
      <c r="D325" t="s">
        <v>27</v>
      </c>
      <c r="E325" t="s">
        <v>29</v>
      </c>
      <c r="F325">
        <v>99863</v>
      </c>
      <c r="G325">
        <v>5899</v>
      </c>
      <c r="H325">
        <v>1473</v>
      </c>
      <c r="I325">
        <v>894</v>
      </c>
      <c r="J325">
        <v>463</v>
      </c>
      <c r="K325" s="4">
        <v>73758.95</v>
      </c>
      <c r="L325" s="4">
        <v>1765141.51</v>
      </c>
      <c r="M325" t="s">
        <v>35</v>
      </c>
      <c r="N325">
        <f t="shared" si="35"/>
        <v>1</v>
      </c>
      <c r="O325" t="str">
        <f>IF(AND(G325&lt;=F325,H325&lt;=G325,I325&lt;=H325,J325&lt;=I325),"OK","Check")</f>
        <v>OK</v>
      </c>
      <c r="P325" s="6">
        <f t="shared" si="36"/>
        <v>5.9070927170223202</v>
      </c>
      <c r="Q325" s="6">
        <f t="shared" si="37"/>
        <v>24.970333954907613</v>
      </c>
      <c r="R325" s="6">
        <f t="shared" si="38"/>
        <v>60.692464358452135</v>
      </c>
      <c r="S325" s="6">
        <f t="shared" si="39"/>
        <v>51.789709172259514</v>
      </c>
      <c r="T325" s="6">
        <f t="shared" si="40"/>
        <v>2293.1217974225506</v>
      </c>
      <c r="U325" s="6">
        <f t="shared" si="41"/>
        <v>23.9312179742255</v>
      </c>
    </row>
    <row r="326" spans="1:21" x14ac:dyDescent="0.3">
      <c r="A326" s="2">
        <v>45554</v>
      </c>
      <c r="B326" t="s">
        <v>17</v>
      </c>
      <c r="C326" t="s">
        <v>22</v>
      </c>
      <c r="D326" t="s">
        <v>27</v>
      </c>
      <c r="E326" t="s">
        <v>30</v>
      </c>
      <c r="F326">
        <v>76229</v>
      </c>
      <c r="G326">
        <v>4994</v>
      </c>
      <c r="H326">
        <v>1189</v>
      </c>
      <c r="I326">
        <v>748</v>
      </c>
      <c r="J326">
        <v>448</v>
      </c>
      <c r="K326" s="4">
        <v>38131.31</v>
      </c>
      <c r="L326" s="4">
        <v>2070391.74</v>
      </c>
      <c r="M326" t="s">
        <v>33</v>
      </c>
      <c r="N326">
        <f t="shared" si="35"/>
        <v>1</v>
      </c>
      <c r="O326" t="str">
        <f>IF(AND(G326&lt;=F326,H326&lt;=G326,I326&lt;=H326,J326&lt;=I326),"OK","Check")</f>
        <v>OK</v>
      </c>
      <c r="P326" s="6">
        <f t="shared" si="36"/>
        <v>6.5513124926209185</v>
      </c>
      <c r="Q326" s="6">
        <f t="shared" si="37"/>
        <v>23.808570284341211</v>
      </c>
      <c r="R326" s="6">
        <f t="shared" si="38"/>
        <v>62.910008410428929</v>
      </c>
      <c r="S326" s="6">
        <f t="shared" si="39"/>
        <v>59.893048128342244</v>
      </c>
      <c r="T326" s="6">
        <f t="shared" si="40"/>
        <v>5329.6370620364214</v>
      </c>
      <c r="U326" s="6">
        <f t="shared" si="41"/>
        <v>54.296370620364215</v>
      </c>
    </row>
    <row r="327" spans="1:21" x14ac:dyDescent="0.3">
      <c r="A327" s="2">
        <v>45555</v>
      </c>
      <c r="B327" t="s">
        <v>17</v>
      </c>
      <c r="C327" t="s">
        <v>22</v>
      </c>
      <c r="D327" t="s">
        <v>27</v>
      </c>
      <c r="E327" t="s">
        <v>29</v>
      </c>
      <c r="F327">
        <v>121757</v>
      </c>
      <c r="G327">
        <v>6018</v>
      </c>
      <c r="H327">
        <v>1136</v>
      </c>
      <c r="I327">
        <v>664</v>
      </c>
      <c r="J327">
        <v>374</v>
      </c>
      <c r="K327" s="4">
        <v>107787.88</v>
      </c>
      <c r="L327" s="4">
        <v>2220089.2400000002</v>
      </c>
      <c r="M327" t="s">
        <v>32</v>
      </c>
      <c r="N327">
        <f t="shared" si="35"/>
        <v>1</v>
      </c>
      <c r="O327" t="str">
        <f>IF(AND(G327&lt;=F327,H327&lt;=G327,I327&lt;=H327,J327&lt;=I327),"OK","Check")</f>
        <v>OK</v>
      </c>
      <c r="P327" s="6">
        <f t="shared" si="36"/>
        <v>4.9426316351421269</v>
      </c>
      <c r="Q327" s="6">
        <f t="shared" si="37"/>
        <v>18.876703223662346</v>
      </c>
      <c r="R327" s="6">
        <f t="shared" si="38"/>
        <v>58.450704225352112</v>
      </c>
      <c r="S327" s="6">
        <f t="shared" si="39"/>
        <v>56.325301204819276</v>
      </c>
      <c r="T327" s="6">
        <f t="shared" si="40"/>
        <v>1959.6835562588301</v>
      </c>
      <c r="U327" s="6">
        <f t="shared" si="41"/>
        <v>20.5968355625883</v>
      </c>
    </row>
    <row r="328" spans="1:21" x14ac:dyDescent="0.3">
      <c r="A328" s="2">
        <v>45556</v>
      </c>
      <c r="B328" t="s">
        <v>17</v>
      </c>
      <c r="C328" t="s">
        <v>22</v>
      </c>
      <c r="D328" t="s">
        <v>27</v>
      </c>
      <c r="E328" t="s">
        <v>30</v>
      </c>
      <c r="F328">
        <v>114298</v>
      </c>
      <c r="G328">
        <v>4785</v>
      </c>
      <c r="H328">
        <v>1131</v>
      </c>
      <c r="I328">
        <v>713</v>
      </c>
      <c r="J328">
        <v>345</v>
      </c>
      <c r="K328" s="4">
        <v>80918.92</v>
      </c>
      <c r="L328" s="4">
        <v>2265577.65</v>
      </c>
      <c r="M328" t="s">
        <v>33</v>
      </c>
      <c r="N328">
        <f t="shared" si="35"/>
        <v>1</v>
      </c>
      <c r="O328" t="str">
        <f>IF(AND(G328&lt;=F328,H328&lt;=G328,I328&lt;=H328,J328&lt;=I328),"OK","Check")</f>
        <v>OK</v>
      </c>
      <c r="P328" s="6">
        <f t="shared" si="36"/>
        <v>4.1864249593168736</v>
      </c>
      <c r="Q328" s="6">
        <f t="shared" si="37"/>
        <v>23.636363636363637</v>
      </c>
      <c r="R328" s="6">
        <f t="shared" si="38"/>
        <v>63.041556145004421</v>
      </c>
      <c r="S328" s="6">
        <f t="shared" si="39"/>
        <v>48.387096774193552</v>
      </c>
      <c r="T328" s="6">
        <f t="shared" si="40"/>
        <v>2699.8120217125984</v>
      </c>
      <c r="U328" s="6">
        <f t="shared" si="41"/>
        <v>27.998120217125983</v>
      </c>
    </row>
    <row r="329" spans="1:21" x14ac:dyDescent="0.3">
      <c r="A329" s="2">
        <v>45557</v>
      </c>
      <c r="B329" t="s">
        <v>17</v>
      </c>
      <c r="C329" t="s">
        <v>22</v>
      </c>
      <c r="D329" t="s">
        <v>27</v>
      </c>
      <c r="E329" t="s">
        <v>29</v>
      </c>
      <c r="F329">
        <v>105308</v>
      </c>
      <c r="G329">
        <v>7365</v>
      </c>
      <c r="H329">
        <v>1272</v>
      </c>
      <c r="I329">
        <v>726</v>
      </c>
      <c r="J329">
        <v>432</v>
      </c>
      <c r="K329" s="4">
        <v>43967.23</v>
      </c>
      <c r="L329" s="4">
        <v>2323390.4500000002</v>
      </c>
      <c r="M329" t="s">
        <v>33</v>
      </c>
      <c r="N329">
        <f t="shared" si="35"/>
        <v>1</v>
      </c>
      <c r="O329" t="str">
        <f>IF(AND(G329&lt;=F329,H329&lt;=G329,I329&lt;=H329,J329&lt;=I329),"OK","Check")</f>
        <v>OK</v>
      </c>
      <c r="P329" s="6">
        <f t="shared" si="36"/>
        <v>6.9937706537015227</v>
      </c>
      <c r="Q329" s="6">
        <f t="shared" si="37"/>
        <v>17.270875763747455</v>
      </c>
      <c r="R329" s="6">
        <f t="shared" si="38"/>
        <v>57.075471698113212</v>
      </c>
      <c r="S329" s="6">
        <f t="shared" si="39"/>
        <v>59.504132231404959</v>
      </c>
      <c r="T329" s="6">
        <f t="shared" si="40"/>
        <v>5184.3684944446122</v>
      </c>
      <c r="U329" s="6">
        <f t="shared" si="41"/>
        <v>52.843684944446125</v>
      </c>
    </row>
    <row r="330" spans="1:21" x14ac:dyDescent="0.3">
      <c r="A330" s="2">
        <v>45558</v>
      </c>
      <c r="B330" t="s">
        <v>17</v>
      </c>
      <c r="C330" t="s">
        <v>22</v>
      </c>
      <c r="D330" t="s">
        <v>27</v>
      </c>
      <c r="E330" t="s">
        <v>28</v>
      </c>
      <c r="F330">
        <v>136857</v>
      </c>
      <c r="G330">
        <v>9505</v>
      </c>
      <c r="H330">
        <v>1522</v>
      </c>
      <c r="I330">
        <v>788</v>
      </c>
      <c r="J330">
        <v>362</v>
      </c>
      <c r="K330" s="4">
        <v>65108.72</v>
      </c>
      <c r="L330" s="4">
        <v>1489069.41</v>
      </c>
      <c r="M330" t="s">
        <v>32</v>
      </c>
      <c r="N330">
        <f t="shared" si="35"/>
        <v>1</v>
      </c>
      <c r="O330" t="str">
        <f>IF(AND(G330&lt;=F330,H330&lt;=G330,I330&lt;=H330,J330&lt;=I330),"OK","Check")</f>
        <v>OK</v>
      </c>
      <c r="P330" s="6">
        <f t="shared" si="36"/>
        <v>6.9452055795465348</v>
      </c>
      <c r="Q330" s="6">
        <f t="shared" si="37"/>
        <v>16.012624934245135</v>
      </c>
      <c r="R330" s="6">
        <f t="shared" si="38"/>
        <v>51.773981603153743</v>
      </c>
      <c r="S330" s="6">
        <f t="shared" si="39"/>
        <v>45.939086294416242</v>
      </c>
      <c r="T330" s="6">
        <f t="shared" si="40"/>
        <v>2187.0506592665311</v>
      </c>
      <c r="U330" s="6">
        <f t="shared" si="41"/>
        <v>22.870506592665311</v>
      </c>
    </row>
    <row r="331" spans="1:21" x14ac:dyDescent="0.3">
      <c r="A331" s="2">
        <v>45559</v>
      </c>
      <c r="B331" t="s">
        <v>17</v>
      </c>
      <c r="C331" t="s">
        <v>22</v>
      </c>
      <c r="D331" t="s">
        <v>27</v>
      </c>
      <c r="E331" t="s">
        <v>29</v>
      </c>
      <c r="F331">
        <v>134230</v>
      </c>
      <c r="G331">
        <v>8702</v>
      </c>
      <c r="H331">
        <v>1365</v>
      </c>
      <c r="I331">
        <v>650</v>
      </c>
      <c r="J331">
        <v>332</v>
      </c>
      <c r="K331" s="4">
        <v>124821.77</v>
      </c>
      <c r="L331" s="4">
        <v>1474440.35</v>
      </c>
      <c r="M331" t="s">
        <v>34</v>
      </c>
      <c r="N331">
        <f t="shared" si="35"/>
        <v>1</v>
      </c>
      <c r="O331" t="str">
        <f>IF(AND(G331&lt;=F331,H331&lt;=G331,I331&lt;=H331,J331&lt;=I331),"OK","Check")</f>
        <v>OK</v>
      </c>
      <c r="P331" s="6">
        <f t="shared" si="36"/>
        <v>6.4829024808165086</v>
      </c>
      <c r="Q331" s="6">
        <f t="shared" si="37"/>
        <v>15.68604918409561</v>
      </c>
      <c r="R331" s="6">
        <f t="shared" si="38"/>
        <v>47.619047619047613</v>
      </c>
      <c r="S331" s="6">
        <f t="shared" si="39"/>
        <v>51.076923076923073</v>
      </c>
      <c r="T331" s="6">
        <f t="shared" si="40"/>
        <v>1081.2365343000665</v>
      </c>
      <c r="U331" s="6">
        <f t="shared" si="41"/>
        <v>11.812365343000664</v>
      </c>
    </row>
    <row r="332" spans="1:21" x14ac:dyDescent="0.3">
      <c r="A332" s="2">
        <v>45560</v>
      </c>
      <c r="B332" t="s">
        <v>17</v>
      </c>
      <c r="C332" t="s">
        <v>22</v>
      </c>
      <c r="D332" t="s">
        <v>27</v>
      </c>
      <c r="E332" t="s">
        <v>28</v>
      </c>
      <c r="F332">
        <v>262940</v>
      </c>
      <c r="G332">
        <v>21020</v>
      </c>
      <c r="H332">
        <v>4963</v>
      </c>
      <c r="I332">
        <v>2852</v>
      </c>
      <c r="J332">
        <v>1664</v>
      </c>
      <c r="K332" s="4">
        <v>200318.65</v>
      </c>
      <c r="L332" s="4">
        <v>7439846.2800000003</v>
      </c>
      <c r="M332" t="s">
        <v>33</v>
      </c>
      <c r="N332">
        <f t="shared" si="35"/>
        <v>1</v>
      </c>
      <c r="O332" t="str">
        <f>IF(AND(G332&lt;=F332,H332&lt;=G332,I332&lt;=H332,J332&lt;=I332),"OK","Check")</f>
        <v>OK</v>
      </c>
      <c r="P332" s="6">
        <f t="shared" si="36"/>
        <v>7.9942192135087851</v>
      </c>
      <c r="Q332" s="6">
        <f t="shared" si="37"/>
        <v>23.610846812559465</v>
      </c>
      <c r="R332" s="6">
        <f t="shared" si="38"/>
        <v>57.465242796695549</v>
      </c>
      <c r="S332" s="6">
        <f t="shared" si="39"/>
        <v>58.345021037868165</v>
      </c>
      <c r="T332" s="6">
        <f t="shared" si="40"/>
        <v>3614.005800258738</v>
      </c>
      <c r="U332" s="6">
        <f t="shared" si="41"/>
        <v>37.140058002587381</v>
      </c>
    </row>
    <row r="333" spans="1:21" x14ac:dyDescent="0.3">
      <c r="A333" s="2">
        <v>45561</v>
      </c>
      <c r="B333" t="s">
        <v>17</v>
      </c>
      <c r="C333" t="s">
        <v>22</v>
      </c>
      <c r="D333" t="s">
        <v>27</v>
      </c>
      <c r="E333" t="s">
        <v>30</v>
      </c>
      <c r="F333">
        <v>273481</v>
      </c>
      <c r="G333">
        <v>17743</v>
      </c>
      <c r="H333">
        <v>3097</v>
      </c>
      <c r="I333">
        <v>1835</v>
      </c>
      <c r="J333">
        <v>1000</v>
      </c>
      <c r="K333" s="4">
        <v>262907.98</v>
      </c>
      <c r="L333" s="4">
        <v>7305475.8899999997</v>
      </c>
      <c r="M333" t="s">
        <v>32</v>
      </c>
      <c r="N333">
        <f t="shared" si="35"/>
        <v>1</v>
      </c>
      <c r="O333" t="str">
        <f>IF(AND(G333&lt;=F333,H333&lt;=G333,I333&lt;=H333,J333&lt;=I333),"OK","Check")</f>
        <v>OK</v>
      </c>
      <c r="P333" s="6">
        <f t="shared" si="36"/>
        <v>6.4878364493328604</v>
      </c>
      <c r="Q333" s="6">
        <f t="shared" si="37"/>
        <v>17.454770895564447</v>
      </c>
      <c r="R333" s="6">
        <f t="shared" si="38"/>
        <v>59.250887956086537</v>
      </c>
      <c r="S333" s="6">
        <f t="shared" si="39"/>
        <v>54.495912806539515</v>
      </c>
      <c r="T333" s="6">
        <f t="shared" si="40"/>
        <v>2678.7197216303593</v>
      </c>
      <c r="U333" s="6">
        <f t="shared" si="41"/>
        <v>27.787197216303593</v>
      </c>
    </row>
    <row r="334" spans="1:21" x14ac:dyDescent="0.3">
      <c r="A334" s="2">
        <v>45562</v>
      </c>
      <c r="B334" t="s">
        <v>17</v>
      </c>
      <c r="C334" t="s">
        <v>22</v>
      </c>
      <c r="D334" t="s">
        <v>27</v>
      </c>
      <c r="E334" t="s">
        <v>29</v>
      </c>
      <c r="F334">
        <v>81135</v>
      </c>
      <c r="G334">
        <v>4547</v>
      </c>
      <c r="H334">
        <v>1123</v>
      </c>
      <c r="I334">
        <v>543</v>
      </c>
      <c r="J334">
        <v>325</v>
      </c>
      <c r="K334" s="4">
        <v>72931.67</v>
      </c>
      <c r="L334" s="4">
        <v>1570056.62</v>
      </c>
      <c r="M334" t="s">
        <v>33</v>
      </c>
      <c r="N334">
        <f t="shared" si="35"/>
        <v>1</v>
      </c>
      <c r="O334" t="str">
        <f>IF(AND(G334&lt;=F334,H334&lt;=G334,I334&lt;=H334,J334&lt;=I334),"OK","Check")</f>
        <v>OK</v>
      </c>
      <c r="P334" s="6">
        <f t="shared" si="36"/>
        <v>5.6042398471682997</v>
      </c>
      <c r="Q334" s="6">
        <f t="shared" si="37"/>
        <v>24.697602815042885</v>
      </c>
      <c r="R334" s="6">
        <f t="shared" si="38"/>
        <v>48.352626892252893</v>
      </c>
      <c r="S334" s="6">
        <f t="shared" si="39"/>
        <v>59.852670349907925</v>
      </c>
      <c r="T334" s="6">
        <f t="shared" si="40"/>
        <v>2052.7775519194888</v>
      </c>
      <c r="U334" s="6">
        <f t="shared" si="41"/>
        <v>21.527775519194886</v>
      </c>
    </row>
    <row r="335" spans="1:21" x14ac:dyDescent="0.3">
      <c r="A335" s="2">
        <v>45563</v>
      </c>
      <c r="B335" t="s">
        <v>17</v>
      </c>
      <c r="C335" t="s">
        <v>22</v>
      </c>
      <c r="D335" t="s">
        <v>27</v>
      </c>
      <c r="E335" t="s">
        <v>28</v>
      </c>
      <c r="F335">
        <v>177065</v>
      </c>
      <c r="G335">
        <v>8511</v>
      </c>
      <c r="H335">
        <v>1962</v>
      </c>
      <c r="I335">
        <v>1141</v>
      </c>
      <c r="J335">
        <v>682</v>
      </c>
      <c r="K335" s="4">
        <v>126930.36</v>
      </c>
      <c r="L335" s="4">
        <v>4613730.38</v>
      </c>
      <c r="M335" t="s">
        <v>34</v>
      </c>
      <c r="N335">
        <f t="shared" si="35"/>
        <v>1</v>
      </c>
      <c r="O335" t="str">
        <f>IF(AND(G335&lt;=F335,H335&lt;=G335,I335&lt;=H335,J335&lt;=I335),"OK","Check")</f>
        <v>OK</v>
      </c>
      <c r="P335" s="6">
        <f t="shared" si="36"/>
        <v>4.8067094005026405</v>
      </c>
      <c r="Q335" s="6">
        <f t="shared" si="37"/>
        <v>23.052520267888614</v>
      </c>
      <c r="R335" s="6">
        <f t="shared" si="38"/>
        <v>58.154943934760453</v>
      </c>
      <c r="S335" s="6">
        <f t="shared" si="39"/>
        <v>59.772129710780021</v>
      </c>
      <c r="T335" s="6">
        <f t="shared" si="40"/>
        <v>3534.8517249931374</v>
      </c>
      <c r="U335" s="6">
        <f t="shared" si="41"/>
        <v>36.348517249931376</v>
      </c>
    </row>
    <row r="336" spans="1:21" x14ac:dyDescent="0.3">
      <c r="A336" s="2">
        <v>45564</v>
      </c>
      <c r="B336" t="s">
        <v>17</v>
      </c>
      <c r="C336" t="s">
        <v>22</v>
      </c>
      <c r="D336" t="s">
        <v>27</v>
      </c>
      <c r="E336" t="s">
        <v>29</v>
      </c>
      <c r="F336">
        <v>120820</v>
      </c>
      <c r="G336">
        <v>8446</v>
      </c>
      <c r="H336">
        <v>1398</v>
      </c>
      <c r="I336">
        <v>808</v>
      </c>
      <c r="J336">
        <v>382</v>
      </c>
      <c r="K336" s="4">
        <v>96604.45</v>
      </c>
      <c r="L336" s="4">
        <v>1911053.53</v>
      </c>
      <c r="M336" t="s">
        <v>32</v>
      </c>
      <c r="N336">
        <f t="shared" si="35"/>
        <v>1</v>
      </c>
      <c r="O336" t="str">
        <f>IF(AND(G336&lt;=F336,H336&lt;=G336,I336&lt;=H336,J336&lt;=I336),"OK","Check")</f>
        <v>OK</v>
      </c>
      <c r="P336" s="6">
        <f t="shared" si="36"/>
        <v>6.9905644760801184</v>
      </c>
      <c r="Q336" s="6">
        <f t="shared" si="37"/>
        <v>16.552214065829979</v>
      </c>
      <c r="R336" s="6">
        <f t="shared" si="38"/>
        <v>57.796852646638051</v>
      </c>
      <c r="S336" s="6">
        <f t="shared" si="39"/>
        <v>47.277227722772274</v>
      </c>
      <c r="T336" s="6">
        <f t="shared" si="40"/>
        <v>1878.225154224262</v>
      </c>
      <c r="U336" s="6">
        <f t="shared" si="41"/>
        <v>19.782251542242619</v>
      </c>
    </row>
    <row r="337" spans="1:21" x14ac:dyDescent="0.3">
      <c r="A337" s="2">
        <v>45565</v>
      </c>
      <c r="B337" t="s">
        <v>17</v>
      </c>
      <c r="C337" t="s">
        <v>22</v>
      </c>
      <c r="D337" t="s">
        <v>27</v>
      </c>
      <c r="E337" t="s">
        <v>29</v>
      </c>
      <c r="F337">
        <v>108200</v>
      </c>
      <c r="G337">
        <v>3265</v>
      </c>
      <c r="H337">
        <v>588</v>
      </c>
      <c r="I337">
        <v>270</v>
      </c>
      <c r="J337">
        <v>146</v>
      </c>
      <c r="K337" s="4">
        <v>90135.86</v>
      </c>
      <c r="L337" s="4">
        <v>550296.55000000005</v>
      </c>
      <c r="M337" t="s">
        <v>31</v>
      </c>
      <c r="N337">
        <f t="shared" si="35"/>
        <v>1</v>
      </c>
      <c r="O337" t="str">
        <f>IF(AND(G337&lt;=F337,H337&lt;=G337,I337&lt;=H337,J337&lt;=I337),"OK","Check")</f>
        <v>OK</v>
      </c>
      <c r="P337" s="6">
        <f t="shared" si="36"/>
        <v>3.0175600739371533</v>
      </c>
      <c r="Q337" s="6">
        <f t="shared" si="37"/>
        <v>18.009188361408881</v>
      </c>
      <c r="R337" s="6">
        <f t="shared" si="38"/>
        <v>45.91836734693878</v>
      </c>
      <c r="S337" s="6">
        <f t="shared" si="39"/>
        <v>54.074074074074076</v>
      </c>
      <c r="T337" s="6">
        <f t="shared" si="40"/>
        <v>510.51899876475363</v>
      </c>
      <c r="U337" s="6">
        <f t="shared" si="41"/>
        <v>6.1051899876475364</v>
      </c>
    </row>
    <row r="338" spans="1:21" x14ac:dyDescent="0.3">
      <c r="A338" s="2">
        <v>45566</v>
      </c>
      <c r="B338" t="s">
        <v>17</v>
      </c>
      <c r="C338" t="s">
        <v>22</v>
      </c>
      <c r="D338" t="s">
        <v>27</v>
      </c>
      <c r="E338" t="s">
        <v>30</v>
      </c>
      <c r="F338">
        <v>181393</v>
      </c>
      <c r="G338">
        <v>7776</v>
      </c>
      <c r="H338">
        <v>1216</v>
      </c>
      <c r="I338">
        <v>691</v>
      </c>
      <c r="J338">
        <v>308</v>
      </c>
      <c r="K338" s="4">
        <v>116710.52</v>
      </c>
      <c r="L338" s="4">
        <v>955852.67</v>
      </c>
      <c r="M338" t="s">
        <v>32</v>
      </c>
      <c r="N338">
        <f t="shared" si="35"/>
        <v>1</v>
      </c>
      <c r="O338" t="str">
        <f>IF(AND(G338&lt;=F338,H338&lt;=G338,I338&lt;=H338,J338&lt;=I338),"OK","Check")</f>
        <v>OK</v>
      </c>
      <c r="P338" s="6">
        <f t="shared" si="36"/>
        <v>4.2868247396536798</v>
      </c>
      <c r="Q338" s="6">
        <f t="shared" si="37"/>
        <v>15.637860082304528</v>
      </c>
      <c r="R338" s="6">
        <f t="shared" si="38"/>
        <v>56.82565789473685</v>
      </c>
      <c r="S338" s="6">
        <f t="shared" si="39"/>
        <v>44.573082489146167</v>
      </c>
      <c r="T338" s="6">
        <f t="shared" si="40"/>
        <v>718.99444026125491</v>
      </c>
      <c r="U338" s="6">
        <f t="shared" si="41"/>
        <v>8.1899444026125501</v>
      </c>
    </row>
    <row r="339" spans="1:21" x14ac:dyDescent="0.3">
      <c r="A339" s="2">
        <v>45567</v>
      </c>
      <c r="B339" t="s">
        <v>17</v>
      </c>
      <c r="C339" t="s">
        <v>22</v>
      </c>
      <c r="D339" t="s">
        <v>27</v>
      </c>
      <c r="E339" t="s">
        <v>30</v>
      </c>
      <c r="F339">
        <v>188107</v>
      </c>
      <c r="G339">
        <v>11836</v>
      </c>
      <c r="H339">
        <v>2751</v>
      </c>
      <c r="I339">
        <v>1255</v>
      </c>
      <c r="J339">
        <v>668</v>
      </c>
      <c r="K339" s="4">
        <v>83985.35</v>
      </c>
      <c r="L339" s="4">
        <v>3644883.8</v>
      </c>
      <c r="M339" t="s">
        <v>33</v>
      </c>
      <c r="N339">
        <f t="shared" si="35"/>
        <v>1</v>
      </c>
      <c r="O339" t="str">
        <f>IF(AND(G339&lt;=F339,H339&lt;=G339,I339&lt;=H339,J339&lt;=I339),"OK","Check")</f>
        <v>OK</v>
      </c>
      <c r="P339" s="6">
        <f t="shared" si="36"/>
        <v>6.2921635026873011</v>
      </c>
      <c r="Q339" s="6">
        <f t="shared" si="37"/>
        <v>23.242649543764784</v>
      </c>
      <c r="R339" s="6">
        <f t="shared" si="38"/>
        <v>45.619774627408219</v>
      </c>
      <c r="S339" s="6">
        <f t="shared" si="39"/>
        <v>53.227091633466138</v>
      </c>
      <c r="T339" s="6">
        <f t="shared" si="40"/>
        <v>4239.9042809251841</v>
      </c>
      <c r="U339" s="6">
        <f t="shared" si="41"/>
        <v>43.399042809251846</v>
      </c>
    </row>
    <row r="340" spans="1:21" x14ac:dyDescent="0.3">
      <c r="A340" s="2">
        <v>45568</v>
      </c>
      <c r="B340" t="s">
        <v>17</v>
      </c>
      <c r="C340" t="s">
        <v>22</v>
      </c>
      <c r="D340" t="s">
        <v>27</v>
      </c>
      <c r="E340" t="s">
        <v>29</v>
      </c>
      <c r="F340">
        <v>136913</v>
      </c>
      <c r="G340">
        <v>4144</v>
      </c>
      <c r="H340">
        <v>997</v>
      </c>
      <c r="I340">
        <v>508</v>
      </c>
      <c r="J340">
        <v>257</v>
      </c>
      <c r="K340" s="4">
        <v>88554.32</v>
      </c>
      <c r="L340" s="4">
        <v>1706756.01</v>
      </c>
      <c r="M340" t="s">
        <v>32</v>
      </c>
      <c r="N340">
        <f t="shared" si="35"/>
        <v>1</v>
      </c>
      <c r="O340" t="str">
        <f>IF(AND(G340&lt;=F340,H340&lt;=G340,I340&lt;=H340,J340&lt;=I340),"OK","Check")</f>
        <v>OK</v>
      </c>
      <c r="P340" s="6">
        <f t="shared" si="36"/>
        <v>3.0267396083644358</v>
      </c>
      <c r="Q340" s="6">
        <f t="shared" si="37"/>
        <v>24.058880308880308</v>
      </c>
      <c r="R340" s="6">
        <f t="shared" si="38"/>
        <v>50.952858575727177</v>
      </c>
      <c r="S340" s="6">
        <f t="shared" si="39"/>
        <v>50.590551181102363</v>
      </c>
      <c r="T340" s="6">
        <f t="shared" si="40"/>
        <v>1827.3548822914568</v>
      </c>
      <c r="U340" s="6">
        <f t="shared" si="41"/>
        <v>19.273548822914567</v>
      </c>
    </row>
    <row r="341" spans="1:21" x14ac:dyDescent="0.3">
      <c r="A341" s="2">
        <v>45569</v>
      </c>
      <c r="B341" t="s">
        <v>17</v>
      </c>
      <c r="C341" t="s">
        <v>22</v>
      </c>
      <c r="D341" t="s">
        <v>27</v>
      </c>
      <c r="E341" t="s">
        <v>30</v>
      </c>
      <c r="F341">
        <v>275383</v>
      </c>
      <c r="G341">
        <v>21966</v>
      </c>
      <c r="H341">
        <v>4741</v>
      </c>
      <c r="I341">
        <v>2231</v>
      </c>
      <c r="J341">
        <v>912</v>
      </c>
      <c r="K341" s="4">
        <v>239728.52</v>
      </c>
      <c r="L341" s="4">
        <v>3926372.14</v>
      </c>
      <c r="M341" t="s">
        <v>31</v>
      </c>
      <c r="N341">
        <f t="shared" si="35"/>
        <v>1</v>
      </c>
      <c r="O341" t="str">
        <f>IF(AND(G341&lt;=F341,H341&lt;=G341,I341&lt;=H341,J341&lt;=I341),"OK","Check")</f>
        <v>OK</v>
      </c>
      <c r="P341" s="6">
        <f t="shared" si="36"/>
        <v>7.9765272366122826</v>
      </c>
      <c r="Q341" s="6">
        <f t="shared" si="37"/>
        <v>21.583356095784396</v>
      </c>
      <c r="R341" s="6">
        <f t="shared" si="38"/>
        <v>47.057582788441252</v>
      </c>
      <c r="S341" s="6">
        <f t="shared" si="39"/>
        <v>40.878529807261316</v>
      </c>
      <c r="T341" s="6">
        <f t="shared" si="40"/>
        <v>1537.8410628822971</v>
      </c>
      <c r="U341" s="6">
        <f t="shared" si="41"/>
        <v>16.378410628822973</v>
      </c>
    </row>
    <row r="342" spans="1:21" x14ac:dyDescent="0.3">
      <c r="A342" s="2">
        <v>45570</v>
      </c>
      <c r="B342" t="s">
        <v>17</v>
      </c>
      <c r="C342" t="s">
        <v>22</v>
      </c>
      <c r="D342" t="s">
        <v>27</v>
      </c>
      <c r="E342" t="s">
        <v>30</v>
      </c>
      <c r="F342">
        <v>287478</v>
      </c>
      <c r="G342">
        <v>15296</v>
      </c>
      <c r="H342">
        <v>2824</v>
      </c>
      <c r="I342">
        <v>1485</v>
      </c>
      <c r="J342">
        <v>658</v>
      </c>
      <c r="K342" s="4">
        <v>273924.01</v>
      </c>
      <c r="L342" s="4">
        <v>2298553.7799999998</v>
      </c>
      <c r="M342" t="s">
        <v>33</v>
      </c>
      <c r="N342">
        <f t="shared" si="35"/>
        <v>1</v>
      </c>
      <c r="O342" t="str">
        <f>IF(AND(G342&lt;=F342,H342&lt;=G342,I342&lt;=H342,J342&lt;=I342),"OK","Check")</f>
        <v>OK</v>
      </c>
      <c r="P342" s="6">
        <f t="shared" si="36"/>
        <v>5.3207549795114755</v>
      </c>
      <c r="Q342" s="6">
        <f t="shared" si="37"/>
        <v>18.46234309623431</v>
      </c>
      <c r="R342" s="6">
        <f t="shared" si="38"/>
        <v>52.584985835694056</v>
      </c>
      <c r="S342" s="6">
        <f t="shared" si="39"/>
        <v>44.309764309764311</v>
      </c>
      <c r="T342" s="6">
        <f t="shared" si="40"/>
        <v>739.12095913023461</v>
      </c>
      <c r="U342" s="6">
        <f t="shared" si="41"/>
        <v>8.3912095913023457</v>
      </c>
    </row>
    <row r="343" spans="1:21" x14ac:dyDescent="0.3">
      <c r="A343" s="2">
        <v>45571</v>
      </c>
      <c r="B343" t="s">
        <v>17</v>
      </c>
      <c r="C343" t="s">
        <v>22</v>
      </c>
      <c r="D343" t="s">
        <v>27</v>
      </c>
      <c r="E343" t="s">
        <v>30</v>
      </c>
      <c r="F343">
        <v>177706</v>
      </c>
      <c r="G343">
        <v>6076</v>
      </c>
      <c r="H343">
        <v>1461</v>
      </c>
      <c r="I343">
        <v>913</v>
      </c>
      <c r="J343">
        <v>494</v>
      </c>
      <c r="K343" s="4">
        <v>142058.98000000001</v>
      </c>
      <c r="L343" s="4">
        <v>1710667.68</v>
      </c>
      <c r="M343" t="s">
        <v>31</v>
      </c>
      <c r="N343">
        <f t="shared" si="35"/>
        <v>1</v>
      </c>
      <c r="O343" t="str">
        <f>IF(AND(G343&lt;=F343,H343&lt;=G343,I343&lt;=H343,J343&lt;=I343),"OK","Check")</f>
        <v>OK</v>
      </c>
      <c r="P343" s="6">
        <f t="shared" si="36"/>
        <v>3.4191304739288491</v>
      </c>
      <c r="Q343" s="6">
        <f t="shared" si="37"/>
        <v>24.045424621461489</v>
      </c>
      <c r="R343" s="6">
        <f t="shared" si="38"/>
        <v>62.491444216290212</v>
      </c>
      <c r="S343" s="6">
        <f t="shared" si="39"/>
        <v>54.107338444687848</v>
      </c>
      <c r="T343" s="6">
        <f t="shared" si="40"/>
        <v>1104.1953841988727</v>
      </c>
      <c r="U343" s="6">
        <f t="shared" si="41"/>
        <v>12.041953841988727</v>
      </c>
    </row>
    <row r="344" spans="1:21" x14ac:dyDescent="0.3">
      <c r="A344" s="2">
        <v>45572</v>
      </c>
      <c r="B344" t="s">
        <v>17</v>
      </c>
      <c r="C344" t="s">
        <v>22</v>
      </c>
      <c r="D344" t="s">
        <v>27</v>
      </c>
      <c r="E344" t="s">
        <v>30</v>
      </c>
      <c r="F344">
        <v>295188</v>
      </c>
      <c r="G344">
        <v>8972</v>
      </c>
      <c r="H344">
        <v>1635</v>
      </c>
      <c r="I344">
        <v>877</v>
      </c>
      <c r="J344">
        <v>449</v>
      </c>
      <c r="K344" s="4">
        <v>209783.61</v>
      </c>
      <c r="L344" s="4">
        <v>3330514.34</v>
      </c>
      <c r="M344" t="s">
        <v>35</v>
      </c>
      <c r="N344">
        <f t="shared" si="35"/>
        <v>1</v>
      </c>
      <c r="O344" t="str">
        <f>IF(AND(G344&lt;=F344,H344&lt;=G344,I344&lt;=H344,J344&lt;=I344),"OK","Check")</f>
        <v>OK</v>
      </c>
      <c r="P344" s="6">
        <f t="shared" si="36"/>
        <v>3.039418946569644</v>
      </c>
      <c r="Q344" s="6">
        <f t="shared" si="37"/>
        <v>18.223361569326794</v>
      </c>
      <c r="R344" s="6">
        <f t="shared" si="38"/>
        <v>53.63914373088685</v>
      </c>
      <c r="S344" s="6">
        <f t="shared" si="39"/>
        <v>51.197263397947545</v>
      </c>
      <c r="T344" s="6">
        <f t="shared" si="40"/>
        <v>1487.5951128879897</v>
      </c>
      <c r="U344" s="6">
        <f t="shared" si="41"/>
        <v>15.875951128879898</v>
      </c>
    </row>
    <row r="345" spans="1:21" x14ac:dyDescent="0.3">
      <c r="A345" s="2">
        <v>45573</v>
      </c>
      <c r="B345" t="s">
        <v>17</v>
      </c>
      <c r="C345" t="s">
        <v>22</v>
      </c>
      <c r="D345" t="s">
        <v>27</v>
      </c>
      <c r="E345" t="s">
        <v>30</v>
      </c>
      <c r="F345">
        <v>142451</v>
      </c>
      <c r="G345">
        <v>6326</v>
      </c>
      <c r="H345">
        <v>1430</v>
      </c>
      <c r="I345">
        <v>782</v>
      </c>
      <c r="J345">
        <v>396</v>
      </c>
      <c r="K345" s="4">
        <v>65523.4</v>
      </c>
      <c r="L345" s="4">
        <v>2443483.4700000002</v>
      </c>
      <c r="M345" t="s">
        <v>33</v>
      </c>
      <c r="N345">
        <f t="shared" si="35"/>
        <v>1</v>
      </c>
      <c r="O345" t="str">
        <f>IF(AND(G345&lt;=F345,H345&lt;=G345,I345&lt;=H345,J345&lt;=I345),"OK","Check")</f>
        <v>OK</v>
      </c>
      <c r="P345" s="6">
        <f t="shared" si="36"/>
        <v>4.4408252662318972</v>
      </c>
      <c r="Q345" s="6">
        <f t="shared" si="37"/>
        <v>22.605121719886185</v>
      </c>
      <c r="R345" s="6">
        <f t="shared" si="38"/>
        <v>54.685314685314687</v>
      </c>
      <c r="S345" s="6">
        <f t="shared" si="39"/>
        <v>50.639386189258317</v>
      </c>
      <c r="T345" s="6">
        <f t="shared" si="40"/>
        <v>3629.1768589542057</v>
      </c>
      <c r="U345" s="6">
        <f t="shared" si="41"/>
        <v>37.291768589542059</v>
      </c>
    </row>
    <row r="346" spans="1:21" x14ac:dyDescent="0.3">
      <c r="A346" s="2">
        <v>45574</v>
      </c>
      <c r="B346" t="s">
        <v>17</v>
      </c>
      <c r="C346" t="s">
        <v>22</v>
      </c>
      <c r="D346" t="s">
        <v>27</v>
      </c>
      <c r="E346" t="s">
        <v>28</v>
      </c>
      <c r="F346">
        <v>54463</v>
      </c>
      <c r="G346">
        <v>3186</v>
      </c>
      <c r="H346">
        <v>540</v>
      </c>
      <c r="I346">
        <v>317</v>
      </c>
      <c r="J346">
        <v>161</v>
      </c>
      <c r="K346" s="4">
        <v>38378.959999999999</v>
      </c>
      <c r="L346" s="4">
        <v>865326.9</v>
      </c>
      <c r="M346" t="s">
        <v>35</v>
      </c>
      <c r="N346">
        <f t="shared" si="35"/>
        <v>1</v>
      </c>
      <c r="O346" t="str">
        <f>IF(AND(G346&lt;=F346,H346&lt;=G346,I346&lt;=H346,J346&lt;=I346),"OK","Check")</f>
        <v>OK</v>
      </c>
      <c r="P346" s="6">
        <f t="shared" si="36"/>
        <v>5.8498430126875123</v>
      </c>
      <c r="Q346" s="6">
        <f t="shared" si="37"/>
        <v>16.949152542372879</v>
      </c>
      <c r="R346" s="6">
        <f t="shared" si="38"/>
        <v>58.703703703703702</v>
      </c>
      <c r="S346" s="6">
        <f t="shared" si="39"/>
        <v>50.788643533123022</v>
      </c>
      <c r="T346" s="6">
        <f t="shared" si="40"/>
        <v>2154.6908514456882</v>
      </c>
      <c r="U346" s="6">
        <f t="shared" si="41"/>
        <v>22.546908514456881</v>
      </c>
    </row>
    <row r="347" spans="1:21" x14ac:dyDescent="0.3">
      <c r="A347" s="2">
        <v>45575</v>
      </c>
      <c r="B347" t="s">
        <v>17</v>
      </c>
      <c r="C347" t="s">
        <v>22</v>
      </c>
      <c r="D347" t="s">
        <v>27</v>
      </c>
      <c r="E347" t="s">
        <v>30</v>
      </c>
      <c r="F347">
        <v>139686</v>
      </c>
      <c r="G347">
        <v>5412</v>
      </c>
      <c r="H347">
        <v>1042</v>
      </c>
      <c r="I347">
        <v>509</v>
      </c>
      <c r="J347">
        <v>290</v>
      </c>
      <c r="K347" s="4">
        <v>75836.12</v>
      </c>
      <c r="L347" s="4">
        <v>1654751.42</v>
      </c>
      <c r="M347" t="s">
        <v>35</v>
      </c>
      <c r="N347">
        <f t="shared" si="35"/>
        <v>1</v>
      </c>
      <c r="O347" t="str">
        <f>IF(AND(G347&lt;=F347,H347&lt;=G347,I347&lt;=H347,J347&lt;=I347),"OK","Check")</f>
        <v>OK</v>
      </c>
      <c r="P347" s="6">
        <f t="shared" si="36"/>
        <v>3.8744040204458567</v>
      </c>
      <c r="Q347" s="6">
        <f t="shared" si="37"/>
        <v>19.253510716925351</v>
      </c>
      <c r="R347" s="6">
        <f t="shared" si="38"/>
        <v>48.848368522072938</v>
      </c>
      <c r="S347" s="6">
        <f t="shared" si="39"/>
        <v>56.97445972495089</v>
      </c>
      <c r="T347" s="6">
        <f t="shared" si="40"/>
        <v>2082.0096017570518</v>
      </c>
      <c r="U347" s="6">
        <f t="shared" si="41"/>
        <v>21.820096017570521</v>
      </c>
    </row>
    <row r="348" spans="1:21" x14ac:dyDescent="0.3">
      <c r="A348" s="2">
        <v>45576</v>
      </c>
      <c r="B348" t="s">
        <v>17</v>
      </c>
      <c r="C348" t="s">
        <v>22</v>
      </c>
      <c r="D348" t="s">
        <v>27</v>
      </c>
      <c r="E348" t="s">
        <v>30</v>
      </c>
      <c r="F348">
        <v>120409</v>
      </c>
      <c r="G348">
        <v>4489</v>
      </c>
      <c r="H348">
        <v>780</v>
      </c>
      <c r="I348">
        <v>484</v>
      </c>
      <c r="J348">
        <v>246</v>
      </c>
      <c r="K348" s="4">
        <v>110563.17</v>
      </c>
      <c r="L348" s="4">
        <v>1888857.04</v>
      </c>
      <c r="M348" t="s">
        <v>35</v>
      </c>
      <c r="N348">
        <f t="shared" si="35"/>
        <v>1</v>
      </c>
      <c r="O348" t="str">
        <f>IF(AND(G348&lt;=F348,H348&lt;=G348,I348&lt;=H348,J348&lt;=I348),"OK","Check")</f>
        <v>OK</v>
      </c>
      <c r="P348" s="6">
        <f t="shared" si="36"/>
        <v>3.7281266350521971</v>
      </c>
      <c r="Q348" s="6">
        <f t="shared" si="37"/>
        <v>17.375807529516596</v>
      </c>
      <c r="R348" s="6">
        <f t="shared" si="38"/>
        <v>62.051282051282051</v>
      </c>
      <c r="S348" s="6">
        <f t="shared" si="39"/>
        <v>50.826446280991732</v>
      </c>
      <c r="T348" s="6">
        <f t="shared" si="40"/>
        <v>1608.3962408096656</v>
      </c>
      <c r="U348" s="6">
        <f t="shared" si="41"/>
        <v>17.083962408096657</v>
      </c>
    </row>
    <row r="349" spans="1:21" x14ac:dyDescent="0.3">
      <c r="A349" s="2">
        <v>45577</v>
      </c>
      <c r="B349" t="s">
        <v>17</v>
      </c>
      <c r="C349" t="s">
        <v>22</v>
      </c>
      <c r="D349" t="s">
        <v>27</v>
      </c>
      <c r="E349" t="s">
        <v>29</v>
      </c>
      <c r="F349">
        <v>216016</v>
      </c>
      <c r="G349">
        <v>10639</v>
      </c>
      <c r="H349">
        <v>1987</v>
      </c>
      <c r="I349">
        <v>1050</v>
      </c>
      <c r="J349">
        <v>475</v>
      </c>
      <c r="K349" s="4">
        <v>139364</v>
      </c>
      <c r="L349" s="4">
        <v>1826451.72</v>
      </c>
      <c r="M349" t="s">
        <v>32</v>
      </c>
      <c r="N349">
        <f t="shared" si="35"/>
        <v>1</v>
      </c>
      <c r="O349" t="str">
        <f>IF(AND(G349&lt;=F349,H349&lt;=G349,I349&lt;=H349,J349&lt;=I349),"OK","Check")</f>
        <v>OK</v>
      </c>
      <c r="P349" s="6">
        <f t="shared" si="36"/>
        <v>4.9250981408784531</v>
      </c>
      <c r="Q349" s="6">
        <f t="shared" si="37"/>
        <v>18.676567346555128</v>
      </c>
      <c r="R349" s="6">
        <f t="shared" si="38"/>
        <v>52.843482637141413</v>
      </c>
      <c r="S349" s="6">
        <f t="shared" si="39"/>
        <v>45.238095238095241</v>
      </c>
      <c r="T349" s="6">
        <f t="shared" si="40"/>
        <v>1210.562067678884</v>
      </c>
      <c r="U349" s="6">
        <f t="shared" si="41"/>
        <v>13.10562067678884</v>
      </c>
    </row>
    <row r="350" spans="1:21" x14ac:dyDescent="0.3">
      <c r="A350" s="2">
        <v>45578</v>
      </c>
      <c r="B350" t="s">
        <v>17</v>
      </c>
      <c r="C350" t="s">
        <v>22</v>
      </c>
      <c r="D350" t="s">
        <v>27</v>
      </c>
      <c r="E350" t="s">
        <v>29</v>
      </c>
      <c r="F350">
        <v>58912</v>
      </c>
      <c r="G350">
        <v>4326</v>
      </c>
      <c r="H350">
        <v>782</v>
      </c>
      <c r="I350">
        <v>498</v>
      </c>
      <c r="J350">
        <v>295</v>
      </c>
      <c r="K350" s="4">
        <v>48216.62</v>
      </c>
      <c r="L350" s="4">
        <v>1214180.74</v>
      </c>
      <c r="M350" t="s">
        <v>32</v>
      </c>
      <c r="N350">
        <f t="shared" si="35"/>
        <v>1</v>
      </c>
      <c r="O350" t="str">
        <f>IF(AND(G350&lt;=F350,H350&lt;=G350,I350&lt;=H350,J350&lt;=I350),"OK","Check")</f>
        <v>OK</v>
      </c>
      <c r="P350" s="6">
        <f t="shared" si="36"/>
        <v>7.343155893536121</v>
      </c>
      <c r="Q350" s="6">
        <f t="shared" si="37"/>
        <v>18.076745261211279</v>
      </c>
      <c r="R350" s="6">
        <f t="shared" si="38"/>
        <v>63.682864450127873</v>
      </c>
      <c r="S350" s="6">
        <f t="shared" si="39"/>
        <v>59.23694779116466</v>
      </c>
      <c r="T350" s="6">
        <f t="shared" si="40"/>
        <v>2418.1788769100772</v>
      </c>
      <c r="U350" s="6">
        <f t="shared" si="41"/>
        <v>25.181788769100777</v>
      </c>
    </row>
    <row r="351" spans="1:21" x14ac:dyDescent="0.3">
      <c r="A351" s="2">
        <v>45579</v>
      </c>
      <c r="B351" t="s">
        <v>17</v>
      </c>
      <c r="C351" t="s">
        <v>22</v>
      </c>
      <c r="D351" t="s">
        <v>27</v>
      </c>
      <c r="E351" t="s">
        <v>28</v>
      </c>
      <c r="F351">
        <v>202717</v>
      </c>
      <c r="G351">
        <v>6817</v>
      </c>
      <c r="H351">
        <v>1069</v>
      </c>
      <c r="I351">
        <v>693</v>
      </c>
      <c r="J351">
        <v>358</v>
      </c>
      <c r="K351" s="4">
        <v>116988.99</v>
      </c>
      <c r="L351" s="4">
        <v>1522257.6</v>
      </c>
      <c r="M351" t="s">
        <v>34</v>
      </c>
      <c r="N351">
        <f t="shared" si="35"/>
        <v>1</v>
      </c>
      <c r="O351" t="str">
        <f>IF(AND(G351&lt;=F351,H351&lt;=G351,I351&lt;=H351,J351&lt;=I351),"OK","Check")</f>
        <v>OK</v>
      </c>
      <c r="P351" s="6">
        <f t="shared" si="36"/>
        <v>3.3628161427014018</v>
      </c>
      <c r="Q351" s="6">
        <f t="shared" si="37"/>
        <v>15.681384773360715</v>
      </c>
      <c r="R351" s="6">
        <f t="shared" si="38"/>
        <v>64.826941066417206</v>
      </c>
      <c r="S351" s="6">
        <f t="shared" si="39"/>
        <v>51.659451659451662</v>
      </c>
      <c r="T351" s="6">
        <f t="shared" si="40"/>
        <v>1201.1973177988802</v>
      </c>
      <c r="U351" s="6">
        <f t="shared" si="41"/>
        <v>13.0119731779888</v>
      </c>
    </row>
    <row r="352" spans="1:21" x14ac:dyDescent="0.3">
      <c r="A352" s="2">
        <v>45580</v>
      </c>
      <c r="B352" t="s">
        <v>17</v>
      </c>
      <c r="C352" t="s">
        <v>22</v>
      </c>
      <c r="D352" t="s">
        <v>27</v>
      </c>
      <c r="E352" t="s">
        <v>28</v>
      </c>
      <c r="F352">
        <v>251656</v>
      </c>
      <c r="G352">
        <v>18834</v>
      </c>
      <c r="H352">
        <v>3343</v>
      </c>
      <c r="I352">
        <v>1918</v>
      </c>
      <c r="J352">
        <v>1080</v>
      </c>
      <c r="K352" s="4">
        <v>241798.27</v>
      </c>
      <c r="L352" s="4">
        <v>7037867.2699999996</v>
      </c>
      <c r="M352" t="s">
        <v>32</v>
      </c>
      <c r="N352">
        <f t="shared" si="35"/>
        <v>1</v>
      </c>
      <c r="O352" t="str">
        <f>IF(AND(G352&lt;=F352,H352&lt;=G352,I352&lt;=H352,J352&lt;=I352),"OK","Check")</f>
        <v>OK</v>
      </c>
      <c r="P352" s="6">
        <f t="shared" si="36"/>
        <v>7.4840258130145916</v>
      </c>
      <c r="Q352" s="6">
        <f t="shared" si="37"/>
        <v>17.749814165870234</v>
      </c>
      <c r="R352" s="6">
        <f t="shared" si="38"/>
        <v>57.373616512114864</v>
      </c>
      <c r="S352" s="6">
        <f t="shared" si="39"/>
        <v>56.308654848800835</v>
      </c>
      <c r="T352" s="6">
        <f t="shared" si="40"/>
        <v>2810.635907361951</v>
      </c>
      <c r="U352" s="6">
        <f t="shared" si="41"/>
        <v>29.106359073619508</v>
      </c>
    </row>
    <row r="353" spans="1:21" x14ac:dyDescent="0.3">
      <c r="A353" s="2">
        <v>45581</v>
      </c>
      <c r="B353" t="s">
        <v>17</v>
      </c>
      <c r="C353" t="s">
        <v>22</v>
      </c>
      <c r="D353" t="s">
        <v>27</v>
      </c>
      <c r="E353" t="s">
        <v>29</v>
      </c>
      <c r="F353">
        <v>199622</v>
      </c>
      <c r="G353">
        <v>6041</v>
      </c>
      <c r="H353">
        <v>993</v>
      </c>
      <c r="I353">
        <v>525</v>
      </c>
      <c r="J353">
        <v>228</v>
      </c>
      <c r="K353" s="4">
        <v>176721.83</v>
      </c>
      <c r="L353" s="4">
        <v>988512.45</v>
      </c>
      <c r="M353" t="s">
        <v>32</v>
      </c>
      <c r="N353">
        <f t="shared" si="35"/>
        <v>1</v>
      </c>
      <c r="O353" t="str">
        <f>IF(AND(G353&lt;=F353,H353&lt;=G353,I353&lt;=H353,J353&lt;=I353),"OK","Check")</f>
        <v>OK</v>
      </c>
      <c r="P353" s="6">
        <f t="shared" si="36"/>
        <v>3.0262195549588724</v>
      </c>
      <c r="Q353" s="6">
        <f t="shared" si="37"/>
        <v>16.437675881476576</v>
      </c>
      <c r="R353" s="6">
        <f t="shared" si="38"/>
        <v>52.870090634441091</v>
      </c>
      <c r="S353" s="6">
        <f t="shared" si="39"/>
        <v>43.428571428571431</v>
      </c>
      <c r="T353" s="6">
        <f t="shared" si="40"/>
        <v>459.36069131923318</v>
      </c>
      <c r="U353" s="6">
        <f t="shared" si="41"/>
        <v>5.5936069131923318</v>
      </c>
    </row>
    <row r="354" spans="1:21" x14ac:dyDescent="0.3">
      <c r="A354" s="2">
        <v>45582</v>
      </c>
      <c r="B354" t="s">
        <v>17</v>
      </c>
      <c r="C354" t="s">
        <v>22</v>
      </c>
      <c r="D354" t="s">
        <v>27</v>
      </c>
      <c r="E354" t="s">
        <v>30</v>
      </c>
      <c r="F354">
        <v>69381</v>
      </c>
      <c r="G354">
        <v>3391</v>
      </c>
      <c r="H354">
        <v>607</v>
      </c>
      <c r="I354">
        <v>363</v>
      </c>
      <c r="J354">
        <v>166</v>
      </c>
      <c r="K354" s="4">
        <v>49757.02</v>
      </c>
      <c r="L354" s="4">
        <v>578094.77</v>
      </c>
      <c r="M354" t="s">
        <v>31</v>
      </c>
      <c r="N354">
        <f t="shared" si="35"/>
        <v>1</v>
      </c>
      <c r="O354" t="str">
        <f>IF(AND(G354&lt;=F354,H354&lt;=G354,I354&lt;=H354,J354&lt;=I354),"OK","Check")</f>
        <v>OK</v>
      </c>
      <c r="P354" s="6">
        <f t="shared" si="36"/>
        <v>4.8875052247733528</v>
      </c>
      <c r="Q354" s="6">
        <f t="shared" si="37"/>
        <v>17.900324388086112</v>
      </c>
      <c r="R354" s="6">
        <f t="shared" si="38"/>
        <v>59.802306425041188</v>
      </c>
      <c r="S354" s="6">
        <f t="shared" si="39"/>
        <v>45.730027548209371</v>
      </c>
      <c r="T354" s="6">
        <f t="shared" si="40"/>
        <v>1061.8355962636026</v>
      </c>
      <c r="U354" s="6">
        <f t="shared" si="41"/>
        <v>11.618355962636027</v>
      </c>
    </row>
    <row r="355" spans="1:21" x14ac:dyDescent="0.3">
      <c r="A355" s="2">
        <v>45583</v>
      </c>
      <c r="B355" t="s">
        <v>17</v>
      </c>
      <c r="C355" t="s">
        <v>22</v>
      </c>
      <c r="D355" t="s">
        <v>27</v>
      </c>
      <c r="E355" t="s">
        <v>29</v>
      </c>
      <c r="F355">
        <v>287101</v>
      </c>
      <c r="G355">
        <v>12759</v>
      </c>
      <c r="H355">
        <v>2552</v>
      </c>
      <c r="I355">
        <v>1493</v>
      </c>
      <c r="J355">
        <v>878</v>
      </c>
      <c r="K355" s="4">
        <v>208157.08</v>
      </c>
      <c r="L355" s="4">
        <v>4202662.82</v>
      </c>
      <c r="M355" t="s">
        <v>33</v>
      </c>
      <c r="N355">
        <f t="shared" si="35"/>
        <v>1</v>
      </c>
      <c r="O355" t="str">
        <f>IF(AND(G355&lt;=F355,H355&lt;=G355,I355&lt;=H355,J355&lt;=I355),"OK","Check")</f>
        <v>OK</v>
      </c>
      <c r="P355" s="6">
        <f t="shared" si="36"/>
        <v>4.4440806545431748</v>
      </c>
      <c r="Q355" s="6">
        <f t="shared" si="37"/>
        <v>20.001567520965594</v>
      </c>
      <c r="R355" s="6">
        <f t="shared" si="38"/>
        <v>58.503134796238243</v>
      </c>
      <c r="S355" s="6">
        <f t="shared" si="39"/>
        <v>58.807769591426663</v>
      </c>
      <c r="T355" s="6">
        <f t="shared" si="40"/>
        <v>1918.9862482698163</v>
      </c>
      <c r="U355" s="6">
        <f t="shared" si="41"/>
        <v>20.189862482698164</v>
      </c>
    </row>
    <row r="356" spans="1:21" x14ac:dyDescent="0.3">
      <c r="A356" s="2">
        <v>45584</v>
      </c>
      <c r="B356" t="s">
        <v>17</v>
      </c>
      <c r="C356" t="s">
        <v>22</v>
      </c>
      <c r="D356" t="s">
        <v>27</v>
      </c>
      <c r="E356" t="s">
        <v>29</v>
      </c>
      <c r="F356">
        <v>184878</v>
      </c>
      <c r="G356">
        <v>12850</v>
      </c>
      <c r="H356">
        <v>2357</v>
      </c>
      <c r="I356">
        <v>1514</v>
      </c>
      <c r="J356">
        <v>788</v>
      </c>
      <c r="K356" s="4">
        <v>119293.73</v>
      </c>
      <c r="L356" s="4">
        <v>4620820.8099999996</v>
      </c>
      <c r="M356" t="s">
        <v>35</v>
      </c>
      <c r="N356">
        <f t="shared" si="35"/>
        <v>1</v>
      </c>
      <c r="O356" t="str">
        <f>IF(AND(G356&lt;=F356,H356&lt;=G356,I356&lt;=H356,J356&lt;=I356),"OK","Check")</f>
        <v>OK</v>
      </c>
      <c r="P356" s="6">
        <f t="shared" si="36"/>
        <v>6.9505295383982952</v>
      </c>
      <c r="Q356" s="6">
        <f t="shared" si="37"/>
        <v>18.342412451361866</v>
      </c>
      <c r="R356" s="6">
        <f t="shared" si="38"/>
        <v>64.234196011879504</v>
      </c>
      <c r="S356" s="6">
        <f t="shared" si="39"/>
        <v>52.047556142668427</v>
      </c>
      <c r="T356" s="6">
        <f t="shared" si="40"/>
        <v>3773.4817077142275</v>
      </c>
      <c r="U356" s="6">
        <f t="shared" si="41"/>
        <v>38.734817077142274</v>
      </c>
    </row>
    <row r="357" spans="1:21" x14ac:dyDescent="0.3">
      <c r="A357" s="2">
        <v>45585</v>
      </c>
      <c r="B357" t="s">
        <v>17</v>
      </c>
      <c r="C357" t="s">
        <v>22</v>
      </c>
      <c r="D357" t="s">
        <v>27</v>
      </c>
      <c r="E357" t="s">
        <v>28</v>
      </c>
      <c r="F357">
        <v>92994</v>
      </c>
      <c r="G357">
        <v>4254</v>
      </c>
      <c r="H357">
        <v>1025</v>
      </c>
      <c r="I357">
        <v>663</v>
      </c>
      <c r="J357">
        <v>325</v>
      </c>
      <c r="K357" s="4">
        <v>63509.98</v>
      </c>
      <c r="L357" s="4">
        <v>1979290.65</v>
      </c>
      <c r="M357" t="s">
        <v>34</v>
      </c>
      <c r="N357">
        <f t="shared" si="35"/>
        <v>1</v>
      </c>
      <c r="O357" t="str">
        <f>IF(AND(G357&lt;=F357,H357&lt;=G357,I357&lt;=H357,J357&lt;=I357),"OK","Check")</f>
        <v>OK</v>
      </c>
      <c r="P357" s="6">
        <f t="shared" si="36"/>
        <v>4.5744886766888184</v>
      </c>
      <c r="Q357" s="6">
        <f t="shared" si="37"/>
        <v>24.094969440526562</v>
      </c>
      <c r="R357" s="6">
        <f t="shared" si="38"/>
        <v>64.682926829268297</v>
      </c>
      <c r="S357" s="6">
        <f t="shared" si="39"/>
        <v>49.019607843137251</v>
      </c>
      <c r="T357" s="6">
        <f t="shared" si="40"/>
        <v>3016.5033432540836</v>
      </c>
      <c r="U357" s="6">
        <f t="shared" si="41"/>
        <v>31.165033432540834</v>
      </c>
    </row>
    <row r="358" spans="1:21" x14ac:dyDescent="0.3">
      <c r="A358" s="2">
        <v>45586</v>
      </c>
      <c r="B358" t="s">
        <v>17</v>
      </c>
      <c r="C358" t="s">
        <v>22</v>
      </c>
      <c r="D358" t="s">
        <v>27</v>
      </c>
      <c r="E358" t="s">
        <v>30</v>
      </c>
      <c r="F358">
        <v>122794</v>
      </c>
      <c r="G358">
        <v>7849</v>
      </c>
      <c r="H358">
        <v>1907</v>
      </c>
      <c r="I358">
        <v>1022</v>
      </c>
      <c r="J358">
        <v>609</v>
      </c>
      <c r="K358" s="4">
        <v>115044.95</v>
      </c>
      <c r="L358" s="4">
        <v>2146534.46</v>
      </c>
      <c r="M358" t="s">
        <v>35</v>
      </c>
      <c r="N358">
        <f t="shared" si="35"/>
        <v>1</v>
      </c>
      <c r="O358" t="str">
        <f>IF(AND(G358&lt;=F358,H358&lt;=G358,I358&lt;=H358,J358&lt;=I358),"OK","Check")</f>
        <v>OK</v>
      </c>
      <c r="P358" s="6">
        <f t="shared" si="36"/>
        <v>6.3920061240777235</v>
      </c>
      <c r="Q358" s="6">
        <f t="shared" si="37"/>
        <v>24.296088673716397</v>
      </c>
      <c r="R358" s="6">
        <f t="shared" si="38"/>
        <v>53.592029365495542</v>
      </c>
      <c r="S358" s="6">
        <f t="shared" si="39"/>
        <v>59.589041095890416</v>
      </c>
      <c r="T358" s="6">
        <f t="shared" si="40"/>
        <v>1765.8224111532056</v>
      </c>
      <c r="U358" s="6">
        <f t="shared" si="41"/>
        <v>18.658224111532057</v>
      </c>
    </row>
    <row r="359" spans="1:21" x14ac:dyDescent="0.3">
      <c r="A359" s="2">
        <v>45587</v>
      </c>
      <c r="B359" t="s">
        <v>17</v>
      </c>
      <c r="C359" t="s">
        <v>22</v>
      </c>
      <c r="D359" t="s">
        <v>27</v>
      </c>
      <c r="E359" t="s">
        <v>29</v>
      </c>
      <c r="F359">
        <v>91570</v>
      </c>
      <c r="G359">
        <v>6739</v>
      </c>
      <c r="H359">
        <v>1285</v>
      </c>
      <c r="I359">
        <v>721</v>
      </c>
      <c r="J359">
        <v>353</v>
      </c>
      <c r="K359" s="4">
        <v>79415.47</v>
      </c>
      <c r="L359" s="4">
        <v>2003387.48</v>
      </c>
      <c r="M359" t="s">
        <v>34</v>
      </c>
      <c r="N359">
        <f t="shared" si="35"/>
        <v>1</v>
      </c>
      <c r="O359" t="str">
        <f>IF(AND(G359&lt;=F359,H359&lt;=G359,I359&lt;=H359,J359&lt;=I359),"OK","Check")</f>
        <v>OK</v>
      </c>
      <c r="P359" s="6">
        <f t="shared" si="36"/>
        <v>7.3593971824833462</v>
      </c>
      <c r="Q359" s="6">
        <f t="shared" si="37"/>
        <v>19.068110995696692</v>
      </c>
      <c r="R359" s="6">
        <f t="shared" si="38"/>
        <v>56.108949416342412</v>
      </c>
      <c r="S359" s="6">
        <f t="shared" si="39"/>
        <v>48.95977808599168</v>
      </c>
      <c r="T359" s="6">
        <f t="shared" si="40"/>
        <v>2422.6665283225043</v>
      </c>
      <c r="U359" s="6">
        <f t="shared" si="41"/>
        <v>25.226665283225042</v>
      </c>
    </row>
    <row r="360" spans="1:21" x14ac:dyDescent="0.3">
      <c r="A360" s="2">
        <v>45588</v>
      </c>
      <c r="B360" t="s">
        <v>17</v>
      </c>
      <c r="C360" t="s">
        <v>22</v>
      </c>
      <c r="D360" t="s">
        <v>27</v>
      </c>
      <c r="E360" t="s">
        <v>30</v>
      </c>
      <c r="F360">
        <v>136044</v>
      </c>
      <c r="G360">
        <v>5700</v>
      </c>
      <c r="H360">
        <v>1277</v>
      </c>
      <c r="I360">
        <v>576</v>
      </c>
      <c r="J360">
        <v>315</v>
      </c>
      <c r="K360" s="4">
        <v>81289.850000000006</v>
      </c>
      <c r="L360" s="4">
        <v>1260959.52</v>
      </c>
      <c r="M360" t="s">
        <v>34</v>
      </c>
      <c r="N360">
        <f t="shared" si="35"/>
        <v>1</v>
      </c>
      <c r="O360" t="str">
        <f>IF(AND(G360&lt;=F360,H360&lt;=G360,I360&lt;=H360,J360&lt;=I360),"OK","Check")</f>
        <v>OK</v>
      </c>
      <c r="P360" s="6">
        <f t="shared" si="36"/>
        <v>4.1898209402840259</v>
      </c>
      <c r="Q360" s="6">
        <f t="shared" si="37"/>
        <v>22.403508771929825</v>
      </c>
      <c r="R360" s="6">
        <f t="shared" si="38"/>
        <v>45.105716523101016</v>
      </c>
      <c r="S360" s="6">
        <f t="shared" si="39"/>
        <v>54.6875</v>
      </c>
      <c r="T360" s="6">
        <f t="shared" si="40"/>
        <v>1451.1893797319096</v>
      </c>
      <c r="U360" s="6">
        <f t="shared" si="41"/>
        <v>15.511893797319098</v>
      </c>
    </row>
    <row r="361" spans="1:21" x14ac:dyDescent="0.3">
      <c r="A361" s="2">
        <v>45589</v>
      </c>
      <c r="B361" t="s">
        <v>17</v>
      </c>
      <c r="C361" t="s">
        <v>22</v>
      </c>
      <c r="D361" t="s">
        <v>27</v>
      </c>
      <c r="E361" t="s">
        <v>28</v>
      </c>
      <c r="F361">
        <v>167984</v>
      </c>
      <c r="G361">
        <v>5400</v>
      </c>
      <c r="H361">
        <v>1206</v>
      </c>
      <c r="I361">
        <v>563</v>
      </c>
      <c r="J361">
        <v>278</v>
      </c>
      <c r="K361" s="4">
        <v>99048.93</v>
      </c>
      <c r="L361" s="4">
        <v>1366324.42</v>
      </c>
      <c r="M361" t="s">
        <v>35</v>
      </c>
      <c r="N361">
        <f t="shared" si="35"/>
        <v>1</v>
      </c>
      <c r="O361" t="str">
        <f>IF(AND(G361&lt;=F361,H361&lt;=G361,I361&lt;=H361,J361&lt;=I361),"OK","Check")</f>
        <v>OK</v>
      </c>
      <c r="P361" s="6">
        <f t="shared" si="36"/>
        <v>3.2145918658919901</v>
      </c>
      <c r="Q361" s="6">
        <f t="shared" si="37"/>
        <v>22.333333333333332</v>
      </c>
      <c r="R361" s="6">
        <f t="shared" si="38"/>
        <v>46.683250414593694</v>
      </c>
      <c r="S361" s="6">
        <f t="shared" si="39"/>
        <v>49.378330373001781</v>
      </c>
      <c r="T361" s="6">
        <f t="shared" si="40"/>
        <v>1279.4438970718818</v>
      </c>
      <c r="U361" s="6">
        <f t="shared" si="41"/>
        <v>13.794438970718815</v>
      </c>
    </row>
    <row r="362" spans="1:21" x14ac:dyDescent="0.3">
      <c r="A362" s="2">
        <v>45590</v>
      </c>
      <c r="B362" t="s">
        <v>17</v>
      </c>
      <c r="C362" t="s">
        <v>22</v>
      </c>
      <c r="D362" t="s">
        <v>27</v>
      </c>
      <c r="E362" t="s">
        <v>28</v>
      </c>
      <c r="F362">
        <v>95036</v>
      </c>
      <c r="G362">
        <v>5272</v>
      </c>
      <c r="H362">
        <v>948</v>
      </c>
      <c r="I362">
        <v>435</v>
      </c>
      <c r="J362">
        <v>238</v>
      </c>
      <c r="K362" s="4">
        <v>52509.599999999999</v>
      </c>
      <c r="L362" s="4">
        <v>1552232.36</v>
      </c>
      <c r="M362" t="s">
        <v>33</v>
      </c>
      <c r="N362">
        <f t="shared" si="35"/>
        <v>1</v>
      </c>
      <c r="O362" t="str">
        <f>IF(AND(G362&lt;=F362,H362&lt;=G362,I362&lt;=H362,J362&lt;=I362),"OK","Check")</f>
        <v>OK</v>
      </c>
      <c r="P362" s="6">
        <f t="shared" si="36"/>
        <v>5.5473715223704705</v>
      </c>
      <c r="Q362" s="6">
        <f t="shared" si="37"/>
        <v>17.981790591805765</v>
      </c>
      <c r="R362" s="6">
        <f t="shared" si="38"/>
        <v>45.88607594936709</v>
      </c>
      <c r="S362" s="6">
        <f t="shared" si="39"/>
        <v>54.712643678160923</v>
      </c>
      <c r="T362" s="6">
        <f t="shared" si="40"/>
        <v>2856.0925240337006</v>
      </c>
      <c r="U362" s="6">
        <f t="shared" si="41"/>
        <v>29.560925240337006</v>
      </c>
    </row>
    <row r="363" spans="1:21" x14ac:dyDescent="0.3">
      <c r="A363" s="2">
        <v>45591</v>
      </c>
      <c r="B363" t="s">
        <v>17</v>
      </c>
      <c r="C363" t="s">
        <v>22</v>
      </c>
      <c r="D363" t="s">
        <v>27</v>
      </c>
      <c r="E363" t="s">
        <v>30</v>
      </c>
      <c r="F363">
        <v>59294</v>
      </c>
      <c r="G363">
        <v>3218</v>
      </c>
      <c r="H363">
        <v>771</v>
      </c>
      <c r="I363">
        <v>376</v>
      </c>
      <c r="J363">
        <v>216</v>
      </c>
      <c r="K363" s="4">
        <v>51407.62</v>
      </c>
      <c r="L363" s="4">
        <v>827192.52</v>
      </c>
      <c r="M363" t="s">
        <v>34</v>
      </c>
      <c r="N363">
        <f t="shared" si="35"/>
        <v>1</v>
      </c>
      <c r="O363" t="str">
        <f>IF(AND(G363&lt;=F363,H363&lt;=G363,I363&lt;=H363,J363&lt;=I363),"OK","Check")</f>
        <v>OK</v>
      </c>
      <c r="P363" s="6">
        <f t="shared" si="36"/>
        <v>5.42719330792323</v>
      </c>
      <c r="Q363" s="6">
        <f t="shared" si="37"/>
        <v>23.958980733374766</v>
      </c>
      <c r="R363" s="6">
        <f t="shared" si="38"/>
        <v>48.767833981841761</v>
      </c>
      <c r="S363" s="6">
        <f t="shared" si="39"/>
        <v>57.446808510638306</v>
      </c>
      <c r="T363" s="6">
        <f t="shared" si="40"/>
        <v>1509.0854235228162</v>
      </c>
      <c r="U363" s="6">
        <f t="shared" si="41"/>
        <v>16.090854235228161</v>
      </c>
    </row>
    <row r="364" spans="1:21" x14ac:dyDescent="0.3">
      <c r="A364" s="2">
        <v>45592</v>
      </c>
      <c r="B364" t="s">
        <v>17</v>
      </c>
      <c r="C364" t="s">
        <v>22</v>
      </c>
      <c r="D364" t="s">
        <v>27</v>
      </c>
      <c r="E364" t="s">
        <v>28</v>
      </c>
      <c r="F364">
        <v>130677</v>
      </c>
      <c r="G364">
        <v>9462</v>
      </c>
      <c r="H364">
        <v>1831</v>
      </c>
      <c r="I364">
        <v>969</v>
      </c>
      <c r="J364">
        <v>562</v>
      </c>
      <c r="K364" s="4">
        <v>89431.65</v>
      </c>
      <c r="L364" s="4">
        <v>2487761.4</v>
      </c>
      <c r="M364" t="s">
        <v>33</v>
      </c>
      <c r="N364">
        <f t="shared" si="35"/>
        <v>1</v>
      </c>
      <c r="O364" t="str">
        <f>IF(AND(G364&lt;=F364,H364&lt;=G364,I364&lt;=H364,J364&lt;=I364),"OK","Check")</f>
        <v>OK</v>
      </c>
      <c r="P364" s="6">
        <f t="shared" si="36"/>
        <v>7.240753919970615</v>
      </c>
      <c r="Q364" s="6">
        <f t="shared" si="37"/>
        <v>19.351088564785456</v>
      </c>
      <c r="R364" s="6">
        <f t="shared" si="38"/>
        <v>52.921900600764602</v>
      </c>
      <c r="S364" s="6">
        <f t="shared" si="39"/>
        <v>57.997936016511865</v>
      </c>
      <c r="T364" s="6">
        <f t="shared" si="40"/>
        <v>2681.746059700341</v>
      </c>
      <c r="U364" s="6">
        <f t="shared" si="41"/>
        <v>27.817460597003411</v>
      </c>
    </row>
    <row r="365" spans="1:21" x14ac:dyDescent="0.3">
      <c r="A365" s="2">
        <v>45593</v>
      </c>
      <c r="B365" t="s">
        <v>17</v>
      </c>
      <c r="C365" t="s">
        <v>22</v>
      </c>
      <c r="D365" t="s">
        <v>27</v>
      </c>
      <c r="E365" t="s">
        <v>28</v>
      </c>
      <c r="F365">
        <v>97058</v>
      </c>
      <c r="G365">
        <v>3274</v>
      </c>
      <c r="H365">
        <v>651</v>
      </c>
      <c r="I365">
        <v>375</v>
      </c>
      <c r="J365">
        <v>190</v>
      </c>
      <c r="K365" s="4">
        <v>45063.28</v>
      </c>
      <c r="L365" s="4">
        <v>895881.61</v>
      </c>
      <c r="M365" t="s">
        <v>31</v>
      </c>
      <c r="N365">
        <f t="shared" si="35"/>
        <v>1</v>
      </c>
      <c r="O365" t="str">
        <f>IF(AND(G365&lt;=F365,H365&lt;=G365,I365&lt;=H365,J365&lt;=I365),"OK","Check")</f>
        <v>OK</v>
      </c>
      <c r="P365" s="6">
        <f t="shared" si="36"/>
        <v>3.3732407426487256</v>
      </c>
      <c r="Q365" s="6">
        <f t="shared" si="37"/>
        <v>19.883934025656689</v>
      </c>
      <c r="R365" s="6">
        <f t="shared" si="38"/>
        <v>57.603686635944698</v>
      </c>
      <c r="S365" s="6">
        <f t="shared" si="39"/>
        <v>50.666666666666671</v>
      </c>
      <c r="T365" s="6">
        <f t="shared" si="40"/>
        <v>1888.0523787882287</v>
      </c>
      <c r="U365" s="6">
        <f t="shared" si="41"/>
        <v>19.880523787882286</v>
      </c>
    </row>
    <row r="366" spans="1:21" x14ac:dyDescent="0.3">
      <c r="A366" s="2">
        <v>45594</v>
      </c>
      <c r="B366" t="s">
        <v>17</v>
      </c>
      <c r="C366" t="s">
        <v>22</v>
      </c>
      <c r="D366" t="s">
        <v>27</v>
      </c>
      <c r="E366" t="s">
        <v>29</v>
      </c>
      <c r="F366">
        <v>179478</v>
      </c>
      <c r="G366">
        <v>6773</v>
      </c>
      <c r="H366">
        <v>1044</v>
      </c>
      <c r="I366">
        <v>667</v>
      </c>
      <c r="J366">
        <v>270</v>
      </c>
      <c r="K366" s="4">
        <v>91661.15</v>
      </c>
      <c r="L366" s="4">
        <v>2080724.29</v>
      </c>
      <c r="M366" t="s">
        <v>33</v>
      </c>
      <c r="N366">
        <f t="shared" si="35"/>
        <v>1</v>
      </c>
      <c r="O366" t="str">
        <f>IF(AND(G366&lt;=F366,H366&lt;=G366,I366&lt;=H366,J366&lt;=I366),"OK","Check")</f>
        <v>OK</v>
      </c>
      <c r="P366" s="6">
        <f t="shared" si="36"/>
        <v>3.7737215703317393</v>
      </c>
      <c r="Q366" s="6">
        <f t="shared" si="37"/>
        <v>15.414144396869926</v>
      </c>
      <c r="R366" s="6">
        <f t="shared" si="38"/>
        <v>63.888888888888886</v>
      </c>
      <c r="S366" s="6">
        <f t="shared" si="39"/>
        <v>40.479760119940025</v>
      </c>
      <c r="T366" s="6">
        <f t="shared" si="40"/>
        <v>2170.0176574262928</v>
      </c>
      <c r="U366" s="6">
        <f t="shared" si="41"/>
        <v>22.700176574262926</v>
      </c>
    </row>
    <row r="367" spans="1:21" x14ac:dyDescent="0.3">
      <c r="A367" s="2">
        <v>45595</v>
      </c>
      <c r="B367" t="s">
        <v>17</v>
      </c>
      <c r="C367" t="s">
        <v>22</v>
      </c>
      <c r="D367" t="s">
        <v>27</v>
      </c>
      <c r="E367" t="s">
        <v>30</v>
      </c>
      <c r="F367">
        <v>281673</v>
      </c>
      <c r="G367">
        <v>15379</v>
      </c>
      <c r="H367">
        <v>3271</v>
      </c>
      <c r="I367">
        <v>1753</v>
      </c>
      <c r="J367">
        <v>1035</v>
      </c>
      <c r="K367" s="4">
        <v>204309.98</v>
      </c>
      <c r="L367" s="4">
        <v>3459761.8</v>
      </c>
      <c r="M367" t="s">
        <v>32</v>
      </c>
      <c r="N367">
        <f t="shared" si="35"/>
        <v>1</v>
      </c>
      <c r="O367" t="str">
        <f>IF(AND(G367&lt;=F367,H367&lt;=G367,I367&lt;=H367,J367&lt;=I367),"OK","Check")</f>
        <v>OK</v>
      </c>
      <c r="P367" s="6">
        <f t="shared" si="36"/>
        <v>5.4598772335296601</v>
      </c>
      <c r="Q367" s="6">
        <f t="shared" si="37"/>
        <v>21.269263281097601</v>
      </c>
      <c r="R367" s="6">
        <f t="shared" si="38"/>
        <v>53.592173647202692</v>
      </c>
      <c r="S367" s="6">
        <f t="shared" si="39"/>
        <v>59.041642897889332</v>
      </c>
      <c r="T367" s="6">
        <f t="shared" si="40"/>
        <v>1593.3885461689144</v>
      </c>
      <c r="U367" s="6">
        <f t="shared" si="41"/>
        <v>16.933885461689144</v>
      </c>
    </row>
    <row r="368" spans="1:21" x14ac:dyDescent="0.3">
      <c r="A368" s="2">
        <v>45596</v>
      </c>
      <c r="B368" t="s">
        <v>17</v>
      </c>
      <c r="C368" t="s">
        <v>22</v>
      </c>
      <c r="D368" t="s">
        <v>27</v>
      </c>
      <c r="E368" t="s">
        <v>30</v>
      </c>
      <c r="F368">
        <v>116450</v>
      </c>
      <c r="G368">
        <v>6235</v>
      </c>
      <c r="H368">
        <v>1558</v>
      </c>
      <c r="I368">
        <v>824</v>
      </c>
      <c r="J368">
        <v>360</v>
      </c>
      <c r="K368" s="4">
        <v>65629.02</v>
      </c>
      <c r="L368" s="4">
        <v>1949668.5</v>
      </c>
      <c r="M368" t="s">
        <v>32</v>
      </c>
      <c r="N368">
        <f t="shared" si="35"/>
        <v>1</v>
      </c>
      <c r="O368" t="str">
        <f>IF(AND(G368&lt;=F368,H368&lt;=G368,I368&lt;=H368,J368&lt;=I368),"OK","Check")</f>
        <v>OK</v>
      </c>
      <c r="P368" s="6">
        <f t="shared" si="36"/>
        <v>5.3542292829540576</v>
      </c>
      <c r="Q368" s="6">
        <f t="shared" si="37"/>
        <v>24.987971130713714</v>
      </c>
      <c r="R368" s="6">
        <f t="shared" si="38"/>
        <v>52.888318356867778</v>
      </c>
      <c r="S368" s="6">
        <f t="shared" si="39"/>
        <v>43.689320388349515</v>
      </c>
      <c r="T368" s="6">
        <f t="shared" si="40"/>
        <v>2870.7414494380687</v>
      </c>
      <c r="U368" s="6">
        <f t="shared" si="41"/>
        <v>29.707414494380686</v>
      </c>
    </row>
    <row r="369" spans="1:21" x14ac:dyDescent="0.3">
      <c r="A369" s="2">
        <v>45597</v>
      </c>
      <c r="B369" t="s">
        <v>17</v>
      </c>
      <c r="C369" t="s">
        <v>22</v>
      </c>
      <c r="D369" t="s">
        <v>27</v>
      </c>
      <c r="E369" t="s">
        <v>29</v>
      </c>
      <c r="F369">
        <v>225961</v>
      </c>
      <c r="G369">
        <v>14171</v>
      </c>
      <c r="H369">
        <v>3221</v>
      </c>
      <c r="I369">
        <v>1819</v>
      </c>
      <c r="J369">
        <v>993</v>
      </c>
      <c r="K369" s="4">
        <v>168277.96</v>
      </c>
      <c r="L369" s="4">
        <v>3222207.73</v>
      </c>
      <c r="M369" t="s">
        <v>33</v>
      </c>
      <c r="N369">
        <f t="shared" si="35"/>
        <v>1</v>
      </c>
      <c r="O369" t="str">
        <f>IF(AND(G369&lt;=F369,H369&lt;=G369,I369&lt;=H369,J369&lt;=I369),"OK","Check")</f>
        <v>OK</v>
      </c>
      <c r="P369" s="6">
        <f t="shared" si="36"/>
        <v>6.2714362212948256</v>
      </c>
      <c r="Q369" s="6">
        <f t="shared" si="37"/>
        <v>22.729518029779129</v>
      </c>
      <c r="R369" s="6">
        <f t="shared" si="38"/>
        <v>56.47314498602919</v>
      </c>
      <c r="S369" s="6">
        <f t="shared" si="39"/>
        <v>54.590434304562955</v>
      </c>
      <c r="T369" s="6">
        <f t="shared" si="40"/>
        <v>1814.8126884827939</v>
      </c>
      <c r="U369" s="6">
        <f t="shared" si="41"/>
        <v>19.148126884827938</v>
      </c>
    </row>
    <row r="370" spans="1:21" x14ac:dyDescent="0.3">
      <c r="A370" s="2">
        <v>45598</v>
      </c>
      <c r="B370" t="s">
        <v>17</v>
      </c>
      <c r="C370" t="s">
        <v>22</v>
      </c>
      <c r="D370" t="s">
        <v>27</v>
      </c>
      <c r="E370" t="s">
        <v>30</v>
      </c>
      <c r="F370">
        <v>106756</v>
      </c>
      <c r="G370">
        <v>7681</v>
      </c>
      <c r="H370">
        <v>1748</v>
      </c>
      <c r="I370">
        <v>926</v>
      </c>
      <c r="J370">
        <v>405</v>
      </c>
      <c r="K370" s="4">
        <v>72448.350000000006</v>
      </c>
      <c r="L370" s="4">
        <v>1950812.15</v>
      </c>
      <c r="M370" t="s">
        <v>31</v>
      </c>
      <c r="N370">
        <f t="shared" si="35"/>
        <v>1</v>
      </c>
      <c r="O370" t="str">
        <f>IF(AND(G370&lt;=F370,H370&lt;=G370,I370&lt;=H370,J370&lt;=I370),"OK","Check")</f>
        <v>OK</v>
      </c>
      <c r="P370" s="6">
        <f t="shared" si="36"/>
        <v>7.1949117613998279</v>
      </c>
      <c r="Q370" s="6">
        <f t="shared" si="37"/>
        <v>22.757453456581175</v>
      </c>
      <c r="R370" s="6">
        <f t="shared" si="38"/>
        <v>52.974828375286044</v>
      </c>
      <c r="S370" s="6">
        <f t="shared" si="39"/>
        <v>43.736501079913609</v>
      </c>
      <c r="T370" s="6">
        <f t="shared" si="40"/>
        <v>2592.6936914367266</v>
      </c>
      <c r="U370" s="6">
        <f t="shared" si="41"/>
        <v>26.926936914367268</v>
      </c>
    </row>
    <row r="371" spans="1:21" x14ac:dyDescent="0.3">
      <c r="A371" s="2">
        <v>45599</v>
      </c>
      <c r="B371" t="s">
        <v>17</v>
      </c>
      <c r="C371" t="s">
        <v>22</v>
      </c>
      <c r="D371" t="s">
        <v>27</v>
      </c>
      <c r="E371" t="s">
        <v>29</v>
      </c>
      <c r="F371">
        <v>232832</v>
      </c>
      <c r="G371">
        <v>9147</v>
      </c>
      <c r="H371">
        <v>1633</v>
      </c>
      <c r="I371">
        <v>749</v>
      </c>
      <c r="J371">
        <v>397</v>
      </c>
      <c r="K371" s="4">
        <v>193724.4</v>
      </c>
      <c r="L371" s="4">
        <v>3007990.84</v>
      </c>
      <c r="M371" t="s">
        <v>32</v>
      </c>
      <c r="N371">
        <f t="shared" si="35"/>
        <v>1</v>
      </c>
      <c r="O371" t="str">
        <f>IF(AND(G371&lt;=F371,H371&lt;=G371,I371&lt;=H371,J371&lt;=I371),"OK","Check")</f>
        <v>OK</v>
      </c>
      <c r="P371" s="6">
        <f t="shared" si="36"/>
        <v>3.9285836998350741</v>
      </c>
      <c r="Q371" s="6">
        <f t="shared" si="37"/>
        <v>17.852847928282497</v>
      </c>
      <c r="R371" s="6">
        <f t="shared" si="38"/>
        <v>45.866503368034294</v>
      </c>
      <c r="S371" s="6">
        <f t="shared" si="39"/>
        <v>53.004005340453944</v>
      </c>
      <c r="T371" s="6">
        <f t="shared" si="40"/>
        <v>1452.7165602267964</v>
      </c>
      <c r="U371" s="6">
        <f t="shared" si="41"/>
        <v>15.527165602267964</v>
      </c>
    </row>
    <row r="372" spans="1:21" x14ac:dyDescent="0.3">
      <c r="A372" s="2">
        <v>45600</v>
      </c>
      <c r="B372" t="s">
        <v>17</v>
      </c>
      <c r="C372" t="s">
        <v>22</v>
      </c>
      <c r="D372" t="s">
        <v>27</v>
      </c>
      <c r="E372" t="s">
        <v>28</v>
      </c>
      <c r="F372">
        <v>283483</v>
      </c>
      <c r="G372">
        <v>9399</v>
      </c>
      <c r="H372">
        <v>2257</v>
      </c>
      <c r="I372">
        <v>1289</v>
      </c>
      <c r="J372">
        <v>646</v>
      </c>
      <c r="K372" s="4">
        <v>152209.39000000001</v>
      </c>
      <c r="L372" s="4">
        <v>2606457.79</v>
      </c>
      <c r="M372" t="s">
        <v>31</v>
      </c>
      <c r="N372">
        <f t="shared" si="35"/>
        <v>1</v>
      </c>
      <c r="O372" t="str">
        <f>IF(AND(G372&lt;=F372,H372&lt;=G372,I372&lt;=H372,J372&lt;=I372),"OK","Check")</f>
        <v>OK</v>
      </c>
      <c r="P372" s="6">
        <f t="shared" si="36"/>
        <v>3.3155427309574117</v>
      </c>
      <c r="Q372" s="6">
        <f t="shared" si="37"/>
        <v>24.013192892860943</v>
      </c>
      <c r="R372" s="6">
        <f t="shared" si="38"/>
        <v>57.111209570225959</v>
      </c>
      <c r="S372" s="6">
        <f t="shared" si="39"/>
        <v>50.116369278510476</v>
      </c>
      <c r="T372" s="6">
        <f t="shared" si="40"/>
        <v>1612.4158962860306</v>
      </c>
      <c r="U372" s="6">
        <f t="shared" si="41"/>
        <v>17.124158962860307</v>
      </c>
    </row>
    <row r="373" spans="1:21" x14ac:dyDescent="0.3">
      <c r="A373" s="2">
        <v>45601</v>
      </c>
      <c r="B373" t="s">
        <v>17</v>
      </c>
      <c r="C373" t="s">
        <v>22</v>
      </c>
      <c r="D373" t="s">
        <v>27</v>
      </c>
      <c r="E373" t="s">
        <v>30</v>
      </c>
      <c r="F373">
        <v>239123</v>
      </c>
      <c r="G373">
        <v>8684</v>
      </c>
      <c r="H373">
        <v>1946</v>
      </c>
      <c r="I373">
        <v>1221</v>
      </c>
      <c r="J373">
        <v>722</v>
      </c>
      <c r="K373" s="4">
        <v>204001.7</v>
      </c>
      <c r="L373" s="4">
        <v>2714132.08</v>
      </c>
      <c r="M373" t="s">
        <v>33</v>
      </c>
      <c r="N373">
        <f t="shared" si="35"/>
        <v>1</v>
      </c>
      <c r="O373" t="str">
        <f>IF(AND(G373&lt;=F373,H373&lt;=G373,I373&lt;=H373,J373&lt;=I373),"OK","Check")</f>
        <v>OK</v>
      </c>
      <c r="P373" s="6">
        <f t="shared" si="36"/>
        <v>3.6316038189550981</v>
      </c>
      <c r="Q373" s="6">
        <f t="shared" si="37"/>
        <v>22.40902809765085</v>
      </c>
      <c r="R373" s="6">
        <f t="shared" si="38"/>
        <v>62.744090441932165</v>
      </c>
      <c r="S373" s="6">
        <f t="shared" si="39"/>
        <v>59.13185913185913</v>
      </c>
      <c r="T373" s="6">
        <f t="shared" si="40"/>
        <v>1230.4458149123266</v>
      </c>
      <c r="U373" s="6">
        <f t="shared" si="41"/>
        <v>13.304458149123267</v>
      </c>
    </row>
    <row r="374" spans="1:21" x14ac:dyDescent="0.3">
      <c r="A374" s="2">
        <v>45602</v>
      </c>
      <c r="B374" t="s">
        <v>17</v>
      </c>
      <c r="C374" t="s">
        <v>22</v>
      </c>
      <c r="D374" t="s">
        <v>27</v>
      </c>
      <c r="E374" t="s">
        <v>30</v>
      </c>
      <c r="F374">
        <v>276380</v>
      </c>
      <c r="G374">
        <v>16064</v>
      </c>
      <c r="H374">
        <v>2534</v>
      </c>
      <c r="I374">
        <v>1232</v>
      </c>
      <c r="J374">
        <v>551</v>
      </c>
      <c r="K374" s="4">
        <v>170390.62</v>
      </c>
      <c r="L374" s="4">
        <v>3092023.95</v>
      </c>
      <c r="M374" t="s">
        <v>35</v>
      </c>
      <c r="N374">
        <f t="shared" si="35"/>
        <v>1</v>
      </c>
      <c r="O374" t="str">
        <f>IF(AND(G374&lt;=F374,H374&lt;=G374,I374&lt;=H374,J374&lt;=I374),"OK","Check")</f>
        <v>OK</v>
      </c>
      <c r="P374" s="6">
        <f t="shared" si="36"/>
        <v>5.8122874303495182</v>
      </c>
      <c r="Q374" s="6">
        <f t="shared" si="37"/>
        <v>15.774402390438247</v>
      </c>
      <c r="R374" s="6">
        <f t="shared" si="38"/>
        <v>48.618784530386741</v>
      </c>
      <c r="S374" s="6">
        <f t="shared" si="39"/>
        <v>44.72402597402597</v>
      </c>
      <c r="T374" s="6">
        <f t="shared" si="40"/>
        <v>1714.6679377068995</v>
      </c>
      <c r="U374" s="6">
        <f t="shared" si="41"/>
        <v>18.146679377068999</v>
      </c>
    </row>
    <row r="375" spans="1:21" x14ac:dyDescent="0.3">
      <c r="A375" s="2">
        <v>45603</v>
      </c>
      <c r="B375" t="s">
        <v>17</v>
      </c>
      <c r="C375" t="s">
        <v>22</v>
      </c>
      <c r="D375" t="s">
        <v>27</v>
      </c>
      <c r="E375" t="s">
        <v>29</v>
      </c>
      <c r="F375">
        <v>270180</v>
      </c>
      <c r="G375">
        <v>14454</v>
      </c>
      <c r="H375">
        <v>3258</v>
      </c>
      <c r="I375">
        <v>1917</v>
      </c>
      <c r="J375">
        <v>990</v>
      </c>
      <c r="K375" s="4">
        <v>268873.26</v>
      </c>
      <c r="L375" s="4">
        <v>6443869.4199999999</v>
      </c>
      <c r="M375" t="s">
        <v>34</v>
      </c>
      <c r="N375">
        <f t="shared" si="35"/>
        <v>1</v>
      </c>
      <c r="O375" t="str">
        <f>IF(AND(G375&lt;=F375,H375&lt;=G375,I375&lt;=H375,J375&lt;=I375),"OK","Check")</f>
        <v>OK</v>
      </c>
      <c r="P375" s="6">
        <f t="shared" si="36"/>
        <v>5.3497668221185872</v>
      </c>
      <c r="Q375" s="6">
        <f t="shared" si="37"/>
        <v>22.540473225404732</v>
      </c>
      <c r="R375" s="6">
        <f t="shared" si="38"/>
        <v>58.839779005524861</v>
      </c>
      <c r="S375" s="6">
        <f t="shared" si="39"/>
        <v>51.643192488262912</v>
      </c>
      <c r="T375" s="6">
        <f t="shared" si="40"/>
        <v>2296.6196638520319</v>
      </c>
      <c r="U375" s="6">
        <f t="shared" si="41"/>
        <v>23.966196638520319</v>
      </c>
    </row>
    <row r="376" spans="1:21" x14ac:dyDescent="0.3">
      <c r="A376" s="2">
        <v>45604</v>
      </c>
      <c r="B376" t="s">
        <v>17</v>
      </c>
      <c r="C376" t="s">
        <v>22</v>
      </c>
      <c r="D376" t="s">
        <v>27</v>
      </c>
      <c r="E376" t="s">
        <v>29</v>
      </c>
      <c r="F376">
        <v>286662</v>
      </c>
      <c r="G376">
        <v>11043</v>
      </c>
      <c r="H376">
        <v>1712</v>
      </c>
      <c r="I376">
        <v>779</v>
      </c>
      <c r="J376">
        <v>318</v>
      </c>
      <c r="K376" s="4">
        <v>131184.54999999999</v>
      </c>
      <c r="L376" s="4">
        <v>1392508.14</v>
      </c>
      <c r="M376" t="s">
        <v>35</v>
      </c>
      <c r="N376">
        <f t="shared" si="35"/>
        <v>1</v>
      </c>
      <c r="O376" t="str">
        <f>IF(AND(G376&lt;=F376,H376&lt;=G376,I376&lt;=H376,J376&lt;=I376),"OK","Check")</f>
        <v>OK</v>
      </c>
      <c r="P376" s="6">
        <f t="shared" si="36"/>
        <v>3.852272013730456</v>
      </c>
      <c r="Q376" s="6">
        <f t="shared" si="37"/>
        <v>15.50303359594313</v>
      </c>
      <c r="R376" s="6">
        <f t="shared" si="38"/>
        <v>45.502336448598129</v>
      </c>
      <c r="S376" s="6">
        <f t="shared" si="39"/>
        <v>40.821566110397946</v>
      </c>
      <c r="T376" s="6">
        <f t="shared" si="40"/>
        <v>961.48791149567535</v>
      </c>
      <c r="U376" s="6">
        <f t="shared" si="41"/>
        <v>10.614879114956754</v>
      </c>
    </row>
    <row r="377" spans="1:21" x14ac:dyDescent="0.3">
      <c r="A377" s="2">
        <v>45605</v>
      </c>
      <c r="B377" t="s">
        <v>17</v>
      </c>
      <c r="C377" t="s">
        <v>22</v>
      </c>
      <c r="D377" t="s">
        <v>27</v>
      </c>
      <c r="E377" t="s">
        <v>28</v>
      </c>
      <c r="F377">
        <v>181568</v>
      </c>
      <c r="G377">
        <v>10036</v>
      </c>
      <c r="H377">
        <v>2164</v>
      </c>
      <c r="I377">
        <v>1043</v>
      </c>
      <c r="J377">
        <v>557</v>
      </c>
      <c r="K377" s="4">
        <v>105288.6</v>
      </c>
      <c r="L377" s="4">
        <v>2943846.76</v>
      </c>
      <c r="M377" t="s">
        <v>31</v>
      </c>
      <c r="N377">
        <f t="shared" si="35"/>
        <v>1</v>
      </c>
      <c r="O377" t="str">
        <f>IF(AND(G377&lt;=F377,H377&lt;=G377,I377&lt;=H377,J377&lt;=I377),"OK","Check")</f>
        <v>OK</v>
      </c>
      <c r="P377" s="6">
        <f t="shared" si="36"/>
        <v>5.5274057102573142</v>
      </c>
      <c r="Q377" s="6">
        <f t="shared" si="37"/>
        <v>21.562375448385811</v>
      </c>
      <c r="R377" s="6">
        <f t="shared" si="38"/>
        <v>48.197781885397411</v>
      </c>
      <c r="S377" s="6">
        <f t="shared" si="39"/>
        <v>53.403643336529235</v>
      </c>
      <c r="T377" s="6">
        <f t="shared" si="40"/>
        <v>2695.9786339641701</v>
      </c>
      <c r="U377" s="6">
        <f t="shared" si="41"/>
        <v>27.959786339641706</v>
      </c>
    </row>
    <row r="378" spans="1:21" x14ac:dyDescent="0.3">
      <c r="A378" s="2">
        <v>45606</v>
      </c>
      <c r="B378" t="s">
        <v>17</v>
      </c>
      <c r="C378" t="s">
        <v>22</v>
      </c>
      <c r="D378" t="s">
        <v>27</v>
      </c>
      <c r="E378" t="s">
        <v>29</v>
      </c>
      <c r="F378">
        <v>55161</v>
      </c>
      <c r="G378">
        <v>1674</v>
      </c>
      <c r="H378">
        <v>327</v>
      </c>
      <c r="I378">
        <v>182</v>
      </c>
      <c r="J378">
        <v>93</v>
      </c>
      <c r="K378" s="4">
        <v>27683.46</v>
      </c>
      <c r="L378" s="4">
        <v>419254.85</v>
      </c>
      <c r="M378" t="s">
        <v>33</v>
      </c>
      <c r="N378">
        <f t="shared" si="35"/>
        <v>1</v>
      </c>
      <c r="O378" t="str">
        <f>IF(AND(G378&lt;=F378,H378&lt;=G378,I378&lt;=H378,J378&lt;=I378),"OK","Check")</f>
        <v>OK</v>
      </c>
      <c r="P378" s="6">
        <f t="shared" si="36"/>
        <v>3.0347528144884972</v>
      </c>
      <c r="Q378" s="6">
        <f t="shared" si="37"/>
        <v>19.534050179211469</v>
      </c>
      <c r="R378" s="6">
        <f t="shared" si="38"/>
        <v>55.657492354740057</v>
      </c>
      <c r="S378" s="6">
        <f t="shared" si="39"/>
        <v>51.098901098901095</v>
      </c>
      <c r="T378" s="6">
        <f t="shared" si="40"/>
        <v>1414.4597171018361</v>
      </c>
      <c r="U378" s="6">
        <f t="shared" si="41"/>
        <v>15.144597171018363</v>
      </c>
    </row>
    <row r="379" spans="1:21" x14ac:dyDescent="0.3">
      <c r="A379" s="2">
        <v>45607</v>
      </c>
      <c r="B379" t="s">
        <v>17</v>
      </c>
      <c r="C379" t="s">
        <v>22</v>
      </c>
      <c r="D379" t="s">
        <v>27</v>
      </c>
      <c r="E379" t="s">
        <v>30</v>
      </c>
      <c r="F379">
        <v>146332</v>
      </c>
      <c r="G379">
        <v>7956</v>
      </c>
      <c r="H379">
        <v>1417</v>
      </c>
      <c r="I379">
        <v>687</v>
      </c>
      <c r="J379">
        <v>389</v>
      </c>
      <c r="K379" s="4">
        <v>145598.6</v>
      </c>
      <c r="L379" s="4">
        <v>1883807.49</v>
      </c>
      <c r="M379" t="s">
        <v>35</v>
      </c>
      <c r="N379">
        <f t="shared" si="35"/>
        <v>1</v>
      </c>
      <c r="O379" t="str">
        <f>IF(AND(G379&lt;=F379,H379&lt;=G379,I379&lt;=H379,J379&lt;=I379),"OK","Check")</f>
        <v>OK</v>
      </c>
      <c r="P379" s="6">
        <f t="shared" si="36"/>
        <v>5.4369515895361236</v>
      </c>
      <c r="Q379" s="6">
        <f t="shared" si="37"/>
        <v>17.81045751633987</v>
      </c>
      <c r="R379" s="6">
        <f t="shared" si="38"/>
        <v>48.482709950599862</v>
      </c>
      <c r="S379" s="6">
        <f t="shared" si="39"/>
        <v>56.622998544395919</v>
      </c>
      <c r="T379" s="6">
        <f t="shared" si="40"/>
        <v>1193.8362662827801</v>
      </c>
      <c r="U379" s="6">
        <f t="shared" si="41"/>
        <v>12.938362662827801</v>
      </c>
    </row>
    <row r="380" spans="1:21" x14ac:dyDescent="0.3">
      <c r="A380" s="2">
        <v>45608</v>
      </c>
      <c r="B380" t="s">
        <v>17</v>
      </c>
      <c r="C380" t="s">
        <v>22</v>
      </c>
      <c r="D380" t="s">
        <v>27</v>
      </c>
      <c r="E380" t="s">
        <v>29</v>
      </c>
      <c r="F380">
        <v>283452</v>
      </c>
      <c r="G380">
        <v>10161</v>
      </c>
      <c r="H380">
        <v>2461</v>
      </c>
      <c r="I380">
        <v>1357</v>
      </c>
      <c r="J380">
        <v>599</v>
      </c>
      <c r="K380" s="4">
        <v>241562.23999999999</v>
      </c>
      <c r="L380" s="4">
        <v>2333253.91</v>
      </c>
      <c r="M380" t="s">
        <v>35</v>
      </c>
      <c r="N380">
        <f t="shared" si="35"/>
        <v>1</v>
      </c>
      <c r="O380" t="str">
        <f>IF(AND(G380&lt;=F380,H380&lt;=G380,I380&lt;=H380,J380&lt;=I380),"OK","Check")</f>
        <v>OK</v>
      </c>
      <c r="P380" s="6">
        <f t="shared" si="36"/>
        <v>3.5847339232039288</v>
      </c>
      <c r="Q380" s="6">
        <f t="shared" si="37"/>
        <v>24.220057080995964</v>
      </c>
      <c r="R380" s="6">
        <f t="shared" si="38"/>
        <v>55.140186915887845</v>
      </c>
      <c r="S380" s="6">
        <f t="shared" si="39"/>
        <v>44.141488577745022</v>
      </c>
      <c r="T380" s="6">
        <f t="shared" si="40"/>
        <v>865.90175269114923</v>
      </c>
      <c r="U380" s="6">
        <f t="shared" si="41"/>
        <v>9.6590175269114926</v>
      </c>
    </row>
    <row r="381" spans="1:21" x14ac:dyDescent="0.3">
      <c r="A381" s="2">
        <v>45609</v>
      </c>
      <c r="B381" t="s">
        <v>17</v>
      </c>
      <c r="C381" t="s">
        <v>22</v>
      </c>
      <c r="D381" t="s">
        <v>27</v>
      </c>
      <c r="E381" t="s">
        <v>29</v>
      </c>
      <c r="F381">
        <v>266279</v>
      </c>
      <c r="G381">
        <v>21175</v>
      </c>
      <c r="H381">
        <v>3231</v>
      </c>
      <c r="I381">
        <v>1568</v>
      </c>
      <c r="J381">
        <v>646</v>
      </c>
      <c r="K381" s="4">
        <v>219965.47</v>
      </c>
      <c r="L381" s="4">
        <v>2905813.4</v>
      </c>
      <c r="M381" t="s">
        <v>35</v>
      </c>
      <c r="N381">
        <f t="shared" si="35"/>
        <v>1</v>
      </c>
      <c r="O381" t="str">
        <f>IF(AND(G381&lt;=F381,H381&lt;=G381,I381&lt;=H381,J381&lt;=I381),"OK","Check")</f>
        <v>OK</v>
      </c>
      <c r="P381" s="6">
        <f t="shared" si="36"/>
        <v>7.9521854896555872</v>
      </c>
      <c r="Q381" s="6">
        <f t="shared" si="37"/>
        <v>15.258559622195985</v>
      </c>
      <c r="R381" s="6">
        <f t="shared" si="38"/>
        <v>48.529866914268027</v>
      </c>
      <c r="S381" s="6">
        <f t="shared" si="39"/>
        <v>41.198979591836739</v>
      </c>
      <c r="T381" s="6">
        <f t="shared" si="40"/>
        <v>1221.0316146438802</v>
      </c>
      <c r="U381" s="6">
        <f t="shared" si="41"/>
        <v>13.210316146438801</v>
      </c>
    </row>
    <row r="382" spans="1:21" x14ac:dyDescent="0.3">
      <c r="A382" s="2">
        <v>45610</v>
      </c>
      <c r="B382" t="s">
        <v>17</v>
      </c>
      <c r="C382" t="s">
        <v>22</v>
      </c>
      <c r="D382" t="s">
        <v>27</v>
      </c>
      <c r="E382" t="s">
        <v>30</v>
      </c>
      <c r="F382">
        <v>126096</v>
      </c>
      <c r="G382">
        <v>4710</v>
      </c>
      <c r="H382">
        <v>786</v>
      </c>
      <c r="I382">
        <v>422</v>
      </c>
      <c r="J382">
        <v>172</v>
      </c>
      <c r="K382" s="4">
        <v>75860.320000000007</v>
      </c>
      <c r="L382" s="4">
        <v>757098.6</v>
      </c>
      <c r="M382" t="s">
        <v>31</v>
      </c>
      <c r="N382">
        <f t="shared" si="35"/>
        <v>1</v>
      </c>
      <c r="O382" t="str">
        <f>IF(AND(G382&lt;=F382,H382&lt;=G382,I382&lt;=H382,J382&lt;=I382),"OK","Check")</f>
        <v>OK</v>
      </c>
      <c r="P382" s="6">
        <f t="shared" si="36"/>
        <v>3.735249333840883</v>
      </c>
      <c r="Q382" s="6">
        <f t="shared" si="37"/>
        <v>16.687898089171973</v>
      </c>
      <c r="R382" s="6">
        <f t="shared" si="38"/>
        <v>53.689567430025441</v>
      </c>
      <c r="S382" s="6">
        <f t="shared" si="39"/>
        <v>40.758293838862556</v>
      </c>
      <c r="T382" s="6">
        <f t="shared" si="40"/>
        <v>898.01661791039112</v>
      </c>
      <c r="U382" s="6">
        <f t="shared" si="41"/>
        <v>9.9801661791039091</v>
      </c>
    </row>
    <row r="383" spans="1:21" x14ac:dyDescent="0.3">
      <c r="A383" s="2">
        <v>45611</v>
      </c>
      <c r="B383" t="s">
        <v>17</v>
      </c>
      <c r="C383" t="s">
        <v>22</v>
      </c>
      <c r="D383" t="s">
        <v>27</v>
      </c>
      <c r="E383" t="s">
        <v>28</v>
      </c>
      <c r="F383">
        <v>72191</v>
      </c>
      <c r="G383">
        <v>4406</v>
      </c>
      <c r="H383">
        <v>911</v>
      </c>
      <c r="I383">
        <v>578</v>
      </c>
      <c r="J383">
        <v>345</v>
      </c>
      <c r="K383" s="4">
        <v>56628.01</v>
      </c>
      <c r="L383" s="4">
        <v>1560935.41</v>
      </c>
      <c r="M383" t="s">
        <v>34</v>
      </c>
      <c r="N383">
        <f t="shared" si="35"/>
        <v>1</v>
      </c>
      <c r="O383" t="str">
        <f>IF(AND(G383&lt;=F383,H383&lt;=G383,I383&lt;=H383,J383&lt;=I383),"OK","Check")</f>
        <v>OK</v>
      </c>
      <c r="P383" s="6">
        <f t="shared" si="36"/>
        <v>6.1032538682107189</v>
      </c>
      <c r="Q383" s="6">
        <f t="shared" si="37"/>
        <v>20.676350431230141</v>
      </c>
      <c r="R383" s="6">
        <f t="shared" si="38"/>
        <v>63.446761800219541</v>
      </c>
      <c r="S383" s="6">
        <f t="shared" si="39"/>
        <v>59.688581314878896</v>
      </c>
      <c r="T383" s="6">
        <f t="shared" si="40"/>
        <v>2656.4723005452597</v>
      </c>
      <c r="U383" s="6">
        <f t="shared" si="41"/>
        <v>27.564723005452599</v>
      </c>
    </row>
    <row r="384" spans="1:21" x14ac:dyDescent="0.3">
      <c r="A384" s="2">
        <v>45612</v>
      </c>
      <c r="B384" t="s">
        <v>17</v>
      </c>
      <c r="C384" t="s">
        <v>22</v>
      </c>
      <c r="D384" t="s">
        <v>27</v>
      </c>
      <c r="E384" t="s">
        <v>30</v>
      </c>
      <c r="F384">
        <v>102772</v>
      </c>
      <c r="G384">
        <v>7546</v>
      </c>
      <c r="H384">
        <v>1445</v>
      </c>
      <c r="I384">
        <v>670</v>
      </c>
      <c r="J384">
        <v>401</v>
      </c>
      <c r="K384" s="4">
        <v>91991.98</v>
      </c>
      <c r="L384" s="4">
        <v>2282140.1</v>
      </c>
      <c r="M384" t="s">
        <v>31</v>
      </c>
      <c r="N384">
        <f t="shared" si="35"/>
        <v>1</v>
      </c>
      <c r="O384" t="str">
        <f>IF(AND(G384&lt;=F384,H384&lt;=G384,I384&lt;=H384,J384&lt;=I384),"OK","Check")</f>
        <v>OK</v>
      </c>
      <c r="P384" s="6">
        <f t="shared" si="36"/>
        <v>7.3424668197563534</v>
      </c>
      <c r="Q384" s="6">
        <f t="shared" si="37"/>
        <v>19.149218128809967</v>
      </c>
      <c r="R384" s="6">
        <f t="shared" si="38"/>
        <v>46.366782006920417</v>
      </c>
      <c r="S384" s="6">
        <f t="shared" si="39"/>
        <v>59.850746268656721</v>
      </c>
      <c r="T384" s="6">
        <f t="shared" si="40"/>
        <v>2380.8033265508584</v>
      </c>
      <c r="U384" s="6">
        <f t="shared" si="41"/>
        <v>24.808033265508584</v>
      </c>
    </row>
    <row r="385" spans="1:21" x14ac:dyDescent="0.3">
      <c r="A385" s="2">
        <v>45613</v>
      </c>
      <c r="B385" t="s">
        <v>17</v>
      </c>
      <c r="C385" t="s">
        <v>22</v>
      </c>
      <c r="D385" t="s">
        <v>27</v>
      </c>
      <c r="E385" t="s">
        <v>28</v>
      </c>
      <c r="F385">
        <v>110873</v>
      </c>
      <c r="G385">
        <v>5990</v>
      </c>
      <c r="H385">
        <v>1401</v>
      </c>
      <c r="I385">
        <v>803</v>
      </c>
      <c r="J385">
        <v>465</v>
      </c>
      <c r="K385" s="4">
        <v>86112.93</v>
      </c>
      <c r="L385" s="4">
        <v>2382488.17</v>
      </c>
      <c r="M385" t="s">
        <v>31</v>
      </c>
      <c r="N385">
        <f t="shared" si="35"/>
        <v>1</v>
      </c>
      <c r="O385" t="str">
        <f>IF(AND(G385&lt;=F385,H385&lt;=G385,I385&lt;=H385,J385&lt;=I385),"OK","Check")</f>
        <v>OK</v>
      </c>
      <c r="P385" s="6">
        <f t="shared" si="36"/>
        <v>5.4025777240626658</v>
      </c>
      <c r="Q385" s="6">
        <f t="shared" si="37"/>
        <v>23.388981636060098</v>
      </c>
      <c r="R385" s="6">
        <f t="shared" si="38"/>
        <v>57.316202712348321</v>
      </c>
      <c r="S385" s="6">
        <f t="shared" si="39"/>
        <v>57.907845579078455</v>
      </c>
      <c r="T385" s="6">
        <f t="shared" si="40"/>
        <v>2666.7020155974251</v>
      </c>
      <c r="U385" s="6">
        <f t="shared" si="41"/>
        <v>27.667020155974257</v>
      </c>
    </row>
    <row r="386" spans="1:21" x14ac:dyDescent="0.3">
      <c r="A386" s="2">
        <v>45614</v>
      </c>
      <c r="B386" t="s">
        <v>17</v>
      </c>
      <c r="C386" t="s">
        <v>22</v>
      </c>
      <c r="D386" t="s">
        <v>27</v>
      </c>
      <c r="E386" t="s">
        <v>29</v>
      </c>
      <c r="F386">
        <v>204362</v>
      </c>
      <c r="G386">
        <v>14066</v>
      </c>
      <c r="H386">
        <v>3141</v>
      </c>
      <c r="I386">
        <v>1562</v>
      </c>
      <c r="J386">
        <v>659</v>
      </c>
      <c r="K386" s="4">
        <v>184747.29</v>
      </c>
      <c r="L386" s="4">
        <v>3568654</v>
      </c>
      <c r="M386" t="s">
        <v>32</v>
      </c>
      <c r="N386">
        <f t="shared" si="35"/>
        <v>1</v>
      </c>
      <c r="O386" t="str">
        <f>IF(AND(G386&lt;=F386,H386&lt;=G386,I386&lt;=H386,J386&lt;=I386),"OK","Check")</f>
        <v>OK</v>
      </c>
      <c r="P386" s="6">
        <f t="shared" si="36"/>
        <v>6.8828842935575105</v>
      </c>
      <c r="Q386" s="6">
        <f t="shared" si="37"/>
        <v>22.330442201052183</v>
      </c>
      <c r="R386" s="6">
        <f t="shared" si="38"/>
        <v>49.729385546004458</v>
      </c>
      <c r="S386" s="6">
        <f t="shared" si="39"/>
        <v>42.189500640204862</v>
      </c>
      <c r="T386" s="6">
        <f t="shared" si="40"/>
        <v>1831.6407834723855</v>
      </c>
      <c r="U386" s="6">
        <f t="shared" si="41"/>
        <v>19.316407834723854</v>
      </c>
    </row>
    <row r="387" spans="1:21" x14ac:dyDescent="0.3">
      <c r="A387" s="2">
        <v>45615</v>
      </c>
      <c r="B387" t="s">
        <v>17</v>
      </c>
      <c r="C387" t="s">
        <v>22</v>
      </c>
      <c r="D387" t="s">
        <v>27</v>
      </c>
      <c r="E387" t="s">
        <v>29</v>
      </c>
      <c r="F387">
        <v>180572</v>
      </c>
      <c r="G387">
        <v>12720</v>
      </c>
      <c r="H387">
        <v>2814</v>
      </c>
      <c r="I387">
        <v>1384</v>
      </c>
      <c r="J387">
        <v>578</v>
      </c>
      <c r="K387" s="4">
        <v>137201.60999999999</v>
      </c>
      <c r="L387" s="4">
        <v>3495163.5</v>
      </c>
      <c r="M387" t="s">
        <v>34</v>
      </c>
      <c r="N387">
        <f t="shared" ref="N387:N450" si="42">COUNTIFS(A:A,A387,B:B,B387,C:C,C387,D:D,D387,E:E,E387,F:F,F387,G:G,G387,H:H,H387,I:I,I387,J:J,J387,K:K,K387,L:L,L387,M:M,M387)</f>
        <v>1</v>
      </c>
      <c r="O387" t="str">
        <f>IF(AND(G387&lt;=F387,H387&lt;=G387,I387&lt;=H387,J387&lt;=I387),"OK","Check")</f>
        <v>OK</v>
      </c>
      <c r="P387" s="6">
        <f t="shared" ref="P387:P450" si="43">IFERROR(G387/F387*100,0)</f>
        <v>7.0442815054382741</v>
      </c>
      <c r="Q387" s="6">
        <f t="shared" ref="Q387:Q450" si="44">IFERROR(H387/G387*100,0)</f>
        <v>22.122641509433961</v>
      </c>
      <c r="R387" s="6">
        <f t="shared" ref="R387:R450" si="45">IFERROR(I387/H387*100,0)</f>
        <v>49.182658137882015</v>
      </c>
      <c r="S387" s="6">
        <f t="shared" ref="S387:S450" si="46">IFERROR(J387/I387*100,0)</f>
        <v>41.763005780346823</v>
      </c>
      <c r="T387" s="6">
        <f t="shared" ref="T387:T450" si="47">IFERROR((L387-K387)/K387*100,0)</f>
        <v>2447.465368664406</v>
      </c>
      <c r="U387" s="6">
        <f t="shared" ref="U387:U450" si="48">IFERROR(L387/K387,0)</f>
        <v>25.474653686644057</v>
      </c>
    </row>
    <row r="388" spans="1:21" x14ac:dyDescent="0.3">
      <c r="A388" s="2">
        <v>45616</v>
      </c>
      <c r="B388" t="s">
        <v>17</v>
      </c>
      <c r="C388" t="s">
        <v>22</v>
      </c>
      <c r="D388" t="s">
        <v>27</v>
      </c>
      <c r="E388" t="s">
        <v>30</v>
      </c>
      <c r="F388">
        <v>193929</v>
      </c>
      <c r="G388">
        <v>13873</v>
      </c>
      <c r="H388">
        <v>3062</v>
      </c>
      <c r="I388">
        <v>1471</v>
      </c>
      <c r="J388">
        <v>874</v>
      </c>
      <c r="K388" s="4">
        <v>161155.16</v>
      </c>
      <c r="L388" s="4">
        <v>6776185.6900000004</v>
      </c>
      <c r="M388" t="s">
        <v>34</v>
      </c>
      <c r="N388">
        <f t="shared" si="42"/>
        <v>1</v>
      </c>
      <c r="O388" t="str">
        <f>IF(AND(G388&lt;=F388,H388&lt;=G388,I388&lt;=H388,J388&lt;=I388),"OK","Check")</f>
        <v>OK</v>
      </c>
      <c r="P388" s="6">
        <f t="shared" si="43"/>
        <v>7.1536490158769448</v>
      </c>
      <c r="Q388" s="6">
        <f t="shared" si="44"/>
        <v>22.071649967562891</v>
      </c>
      <c r="R388" s="6">
        <f t="shared" si="45"/>
        <v>48.040496407576747</v>
      </c>
      <c r="S388" s="6">
        <f t="shared" si="46"/>
        <v>59.415363698164512</v>
      </c>
      <c r="T388" s="6">
        <f t="shared" si="47"/>
        <v>4104.7587492699586</v>
      </c>
      <c r="U388" s="6">
        <f t="shared" si="48"/>
        <v>42.047587492699584</v>
      </c>
    </row>
    <row r="389" spans="1:21" x14ac:dyDescent="0.3">
      <c r="A389" s="2">
        <v>45617</v>
      </c>
      <c r="B389" t="s">
        <v>17</v>
      </c>
      <c r="C389" t="s">
        <v>22</v>
      </c>
      <c r="D389" t="s">
        <v>27</v>
      </c>
      <c r="E389" t="s">
        <v>30</v>
      </c>
      <c r="F389">
        <v>82283</v>
      </c>
      <c r="G389">
        <v>2921</v>
      </c>
      <c r="H389">
        <v>481</v>
      </c>
      <c r="I389">
        <v>235</v>
      </c>
      <c r="J389">
        <v>130</v>
      </c>
      <c r="K389" s="4">
        <v>76726.47</v>
      </c>
      <c r="L389" s="4">
        <v>415137.55</v>
      </c>
      <c r="M389" t="s">
        <v>33</v>
      </c>
      <c r="N389">
        <f t="shared" si="42"/>
        <v>1</v>
      </c>
      <c r="O389" t="str">
        <f>IF(AND(G389&lt;=F389,H389&lt;=G389,I389&lt;=H389,J389&lt;=I389),"OK","Check")</f>
        <v>OK</v>
      </c>
      <c r="P389" s="6">
        <f t="shared" si="43"/>
        <v>3.5499434877192129</v>
      </c>
      <c r="Q389" s="6">
        <f t="shared" si="44"/>
        <v>16.466963368709344</v>
      </c>
      <c r="R389" s="6">
        <f t="shared" si="45"/>
        <v>48.856548856548862</v>
      </c>
      <c r="S389" s="6">
        <f t="shared" si="46"/>
        <v>55.319148936170215</v>
      </c>
      <c r="T389" s="6">
        <f t="shared" si="47"/>
        <v>441.06170921195769</v>
      </c>
      <c r="U389" s="6">
        <f t="shared" si="48"/>
        <v>5.4106170921195771</v>
      </c>
    </row>
    <row r="390" spans="1:21" x14ac:dyDescent="0.3">
      <c r="A390" s="2">
        <v>45618</v>
      </c>
      <c r="B390" t="s">
        <v>17</v>
      </c>
      <c r="C390" t="s">
        <v>22</v>
      </c>
      <c r="D390" t="s">
        <v>27</v>
      </c>
      <c r="E390" t="s">
        <v>30</v>
      </c>
      <c r="F390">
        <v>192091</v>
      </c>
      <c r="G390">
        <v>11604</v>
      </c>
      <c r="H390">
        <v>2347</v>
      </c>
      <c r="I390">
        <v>1104</v>
      </c>
      <c r="J390">
        <v>643</v>
      </c>
      <c r="K390" s="4">
        <v>125058.01</v>
      </c>
      <c r="L390" s="4">
        <v>4406790.3499999996</v>
      </c>
      <c r="M390" t="s">
        <v>34</v>
      </c>
      <c r="N390">
        <f t="shared" si="42"/>
        <v>1</v>
      </c>
      <c r="O390" t="str">
        <f>IF(AND(G390&lt;=F390,H390&lt;=G390,I390&lt;=H390,J390&lt;=I390),"OK","Check")</f>
        <v>OK</v>
      </c>
      <c r="P390" s="6">
        <f t="shared" si="43"/>
        <v>6.0408868713266113</v>
      </c>
      <c r="Q390" s="6">
        <f t="shared" si="44"/>
        <v>20.225784212340571</v>
      </c>
      <c r="R390" s="6">
        <f t="shared" si="45"/>
        <v>47.038772901576479</v>
      </c>
      <c r="S390" s="6">
        <f t="shared" si="46"/>
        <v>58.242753623188406</v>
      </c>
      <c r="T390" s="6">
        <f t="shared" si="47"/>
        <v>3423.7969563085167</v>
      </c>
      <c r="U390" s="6">
        <f t="shared" si="48"/>
        <v>35.237969563085159</v>
      </c>
    </row>
    <row r="391" spans="1:21" x14ac:dyDescent="0.3">
      <c r="A391" s="2">
        <v>45619</v>
      </c>
      <c r="B391" t="s">
        <v>17</v>
      </c>
      <c r="C391" t="s">
        <v>22</v>
      </c>
      <c r="D391" t="s">
        <v>27</v>
      </c>
      <c r="E391" t="s">
        <v>30</v>
      </c>
      <c r="F391">
        <v>65161</v>
      </c>
      <c r="G391">
        <v>2390</v>
      </c>
      <c r="H391">
        <v>561</v>
      </c>
      <c r="I391">
        <v>334</v>
      </c>
      <c r="J391">
        <v>173</v>
      </c>
      <c r="K391" s="4">
        <v>46009.7</v>
      </c>
      <c r="L391" s="4">
        <v>825433.67</v>
      </c>
      <c r="M391" t="s">
        <v>32</v>
      </c>
      <c r="N391">
        <f t="shared" si="42"/>
        <v>1</v>
      </c>
      <c r="O391" t="str">
        <f>IF(AND(G391&lt;=F391,H391&lt;=G391,I391&lt;=H391,J391&lt;=I391),"OK","Check")</f>
        <v>OK</v>
      </c>
      <c r="P391" s="6">
        <f t="shared" si="43"/>
        <v>3.6678381240312454</v>
      </c>
      <c r="Q391" s="6">
        <f t="shared" si="44"/>
        <v>23.472803347280337</v>
      </c>
      <c r="R391" s="6">
        <f t="shared" si="45"/>
        <v>59.536541889483061</v>
      </c>
      <c r="S391" s="6">
        <f t="shared" si="46"/>
        <v>51.796407185628745</v>
      </c>
      <c r="T391" s="6">
        <f t="shared" si="47"/>
        <v>1694.0427127323155</v>
      </c>
      <c r="U391" s="6">
        <f t="shared" si="48"/>
        <v>17.940427127323154</v>
      </c>
    </row>
    <row r="392" spans="1:21" x14ac:dyDescent="0.3">
      <c r="A392" s="2">
        <v>45620</v>
      </c>
      <c r="B392" t="s">
        <v>17</v>
      </c>
      <c r="C392" t="s">
        <v>22</v>
      </c>
      <c r="D392" t="s">
        <v>27</v>
      </c>
      <c r="E392" t="s">
        <v>28</v>
      </c>
      <c r="F392">
        <v>273486</v>
      </c>
      <c r="G392">
        <v>9563</v>
      </c>
      <c r="H392">
        <v>1760</v>
      </c>
      <c r="I392">
        <v>876</v>
      </c>
      <c r="J392">
        <v>515</v>
      </c>
      <c r="K392" s="4">
        <v>230126.27</v>
      </c>
      <c r="L392" s="4">
        <v>3733798.06</v>
      </c>
      <c r="M392" t="s">
        <v>31</v>
      </c>
      <c r="N392">
        <f t="shared" si="42"/>
        <v>1</v>
      </c>
      <c r="O392" t="str">
        <f>IF(AND(G392&lt;=F392,H392&lt;=G392,I392&lt;=H392,J392&lt;=I392),"OK","Check")</f>
        <v>OK</v>
      </c>
      <c r="P392" s="6">
        <f t="shared" si="43"/>
        <v>3.4967054986361275</v>
      </c>
      <c r="Q392" s="6">
        <f t="shared" si="44"/>
        <v>18.40426644358465</v>
      </c>
      <c r="R392" s="6">
        <f t="shared" si="45"/>
        <v>49.772727272727273</v>
      </c>
      <c r="S392" s="6">
        <f t="shared" si="46"/>
        <v>58.789954337899545</v>
      </c>
      <c r="T392" s="6">
        <f t="shared" si="47"/>
        <v>1522.4997085295827</v>
      </c>
      <c r="U392" s="6">
        <f t="shared" si="48"/>
        <v>16.224997085295826</v>
      </c>
    </row>
    <row r="393" spans="1:21" x14ac:dyDescent="0.3">
      <c r="A393" s="2">
        <v>45621</v>
      </c>
      <c r="B393" t="s">
        <v>17</v>
      </c>
      <c r="C393" t="s">
        <v>22</v>
      </c>
      <c r="D393" t="s">
        <v>27</v>
      </c>
      <c r="E393" t="s">
        <v>28</v>
      </c>
      <c r="F393">
        <v>69058</v>
      </c>
      <c r="G393">
        <v>3605</v>
      </c>
      <c r="H393">
        <v>672</v>
      </c>
      <c r="I393">
        <v>383</v>
      </c>
      <c r="J393">
        <v>211</v>
      </c>
      <c r="K393" s="4">
        <v>46789.73</v>
      </c>
      <c r="L393" s="4">
        <v>1676078.02</v>
      </c>
      <c r="M393" t="s">
        <v>32</v>
      </c>
      <c r="N393">
        <f t="shared" si="42"/>
        <v>1</v>
      </c>
      <c r="O393" t="str">
        <f>IF(AND(G393&lt;=F393,H393&lt;=G393,I393&lt;=H393,J393&lt;=I393),"OK","Check")</f>
        <v>OK</v>
      </c>
      <c r="P393" s="6">
        <f t="shared" si="43"/>
        <v>5.2202496452257527</v>
      </c>
      <c r="Q393" s="6">
        <f t="shared" si="44"/>
        <v>18.640776699029125</v>
      </c>
      <c r="R393" s="6">
        <f t="shared" si="45"/>
        <v>56.994047619047613</v>
      </c>
      <c r="S393" s="6">
        <f t="shared" si="46"/>
        <v>55.091383812010442</v>
      </c>
      <c r="T393" s="6">
        <f t="shared" si="47"/>
        <v>3482.1493733774482</v>
      </c>
      <c r="U393" s="6">
        <f t="shared" si="48"/>
        <v>35.821493733774481</v>
      </c>
    </row>
    <row r="394" spans="1:21" x14ac:dyDescent="0.3">
      <c r="A394" s="2">
        <v>45622</v>
      </c>
      <c r="B394" t="s">
        <v>17</v>
      </c>
      <c r="C394" t="s">
        <v>22</v>
      </c>
      <c r="D394" t="s">
        <v>27</v>
      </c>
      <c r="E394" t="s">
        <v>28</v>
      </c>
      <c r="F394">
        <v>91853</v>
      </c>
      <c r="G394">
        <v>6881</v>
      </c>
      <c r="H394">
        <v>1240</v>
      </c>
      <c r="I394">
        <v>672</v>
      </c>
      <c r="J394">
        <v>277</v>
      </c>
      <c r="K394" s="4">
        <v>44008.160000000003</v>
      </c>
      <c r="L394" s="4">
        <v>1877093.83</v>
      </c>
      <c r="M394" t="s">
        <v>33</v>
      </c>
      <c r="N394">
        <f t="shared" si="42"/>
        <v>1</v>
      </c>
      <c r="O394" t="str">
        <f>IF(AND(G394&lt;=F394,H394&lt;=G394,I394&lt;=H394,J394&lt;=I394),"OK","Check")</f>
        <v>OK</v>
      </c>
      <c r="P394" s="6">
        <f t="shared" si="43"/>
        <v>7.4913176488519699</v>
      </c>
      <c r="Q394" s="6">
        <f t="shared" si="44"/>
        <v>18.0206365353873</v>
      </c>
      <c r="R394" s="6">
        <f t="shared" si="45"/>
        <v>54.193548387096783</v>
      </c>
      <c r="S394" s="6">
        <f t="shared" si="46"/>
        <v>41.220238095238095</v>
      </c>
      <c r="T394" s="6">
        <f t="shared" si="47"/>
        <v>4165.3313158287001</v>
      </c>
      <c r="U394" s="6">
        <f t="shared" si="48"/>
        <v>42.653313158287006</v>
      </c>
    </row>
    <row r="395" spans="1:21" x14ac:dyDescent="0.3">
      <c r="A395" s="2">
        <v>45623</v>
      </c>
      <c r="B395" t="s">
        <v>17</v>
      </c>
      <c r="C395" t="s">
        <v>22</v>
      </c>
      <c r="D395" t="s">
        <v>27</v>
      </c>
      <c r="E395" t="s">
        <v>29</v>
      </c>
      <c r="F395">
        <v>90600</v>
      </c>
      <c r="G395">
        <v>5028</v>
      </c>
      <c r="H395">
        <v>1186</v>
      </c>
      <c r="I395">
        <v>602</v>
      </c>
      <c r="J395">
        <v>308</v>
      </c>
      <c r="K395" s="4">
        <v>73545.38</v>
      </c>
      <c r="L395" s="4">
        <v>1650695.41</v>
      </c>
      <c r="M395" t="s">
        <v>35</v>
      </c>
      <c r="N395">
        <f t="shared" si="42"/>
        <v>1</v>
      </c>
      <c r="O395" t="str">
        <f>IF(AND(G395&lt;=F395,H395&lt;=G395,I395&lt;=H395,J395&lt;=I395),"OK","Check")</f>
        <v>OK</v>
      </c>
      <c r="P395" s="6">
        <f t="shared" si="43"/>
        <v>5.5496688741721849</v>
      </c>
      <c r="Q395" s="6">
        <f t="shared" si="44"/>
        <v>23.587907716785999</v>
      </c>
      <c r="R395" s="6">
        <f t="shared" si="45"/>
        <v>50.75885328836425</v>
      </c>
      <c r="S395" s="6">
        <f t="shared" si="46"/>
        <v>51.162790697674424</v>
      </c>
      <c r="T395" s="6">
        <f t="shared" si="47"/>
        <v>2144.4583330727232</v>
      </c>
      <c r="U395" s="6">
        <f t="shared" si="48"/>
        <v>22.44458333072723</v>
      </c>
    </row>
    <row r="396" spans="1:21" x14ac:dyDescent="0.3">
      <c r="A396" s="2">
        <v>45624</v>
      </c>
      <c r="B396" t="s">
        <v>17</v>
      </c>
      <c r="C396" t="s">
        <v>22</v>
      </c>
      <c r="D396" t="s">
        <v>27</v>
      </c>
      <c r="E396" t="s">
        <v>28</v>
      </c>
      <c r="F396">
        <v>175761</v>
      </c>
      <c r="G396">
        <v>5318</v>
      </c>
      <c r="H396">
        <v>1233</v>
      </c>
      <c r="I396">
        <v>657</v>
      </c>
      <c r="J396">
        <v>374</v>
      </c>
      <c r="K396" s="4">
        <v>116485.8</v>
      </c>
      <c r="L396" s="4">
        <v>2032416.22</v>
      </c>
      <c r="M396" t="s">
        <v>32</v>
      </c>
      <c r="N396">
        <f t="shared" si="42"/>
        <v>1</v>
      </c>
      <c r="O396" t="str">
        <f>IF(AND(G396&lt;=F396,H396&lt;=G396,I396&lt;=H396,J396&lt;=I396),"OK","Check")</f>
        <v>OK</v>
      </c>
      <c r="P396" s="6">
        <f t="shared" si="43"/>
        <v>3.0256996717132925</v>
      </c>
      <c r="Q396" s="6">
        <f t="shared" si="44"/>
        <v>23.185408048138399</v>
      </c>
      <c r="R396" s="6">
        <f t="shared" si="45"/>
        <v>53.284671532846716</v>
      </c>
      <c r="S396" s="6">
        <f t="shared" si="46"/>
        <v>56.925418569254184</v>
      </c>
      <c r="T396" s="6">
        <f t="shared" si="47"/>
        <v>1644.775946939455</v>
      </c>
      <c r="U396" s="6">
        <f t="shared" si="48"/>
        <v>17.447759469394551</v>
      </c>
    </row>
    <row r="397" spans="1:21" x14ac:dyDescent="0.3">
      <c r="A397" s="2">
        <v>45625</v>
      </c>
      <c r="B397" t="s">
        <v>17</v>
      </c>
      <c r="C397" t="s">
        <v>22</v>
      </c>
      <c r="D397" t="s">
        <v>27</v>
      </c>
      <c r="E397" t="s">
        <v>28</v>
      </c>
      <c r="F397">
        <v>255808</v>
      </c>
      <c r="G397">
        <v>20215</v>
      </c>
      <c r="H397">
        <v>4403</v>
      </c>
      <c r="I397">
        <v>2084</v>
      </c>
      <c r="J397">
        <v>1238</v>
      </c>
      <c r="K397" s="4">
        <v>219725.73</v>
      </c>
      <c r="L397" s="4">
        <v>5687975.9299999997</v>
      </c>
      <c r="M397" t="s">
        <v>34</v>
      </c>
      <c r="N397">
        <f t="shared" si="42"/>
        <v>1</v>
      </c>
      <c r="O397" t="str">
        <f>IF(AND(G397&lt;=F397,H397&lt;=G397,I397&lt;=H397,J397&lt;=I397),"OK","Check")</f>
        <v>OK</v>
      </c>
      <c r="P397" s="6">
        <f t="shared" si="43"/>
        <v>7.9024111833875406</v>
      </c>
      <c r="Q397" s="6">
        <f t="shared" si="44"/>
        <v>21.780855800148405</v>
      </c>
      <c r="R397" s="6">
        <f t="shared" si="45"/>
        <v>47.3313649784238</v>
      </c>
      <c r="S397" s="6">
        <f t="shared" si="46"/>
        <v>59.404990403071011</v>
      </c>
      <c r="T397" s="6">
        <f t="shared" si="47"/>
        <v>2488.6708534316845</v>
      </c>
      <c r="U397" s="6">
        <f t="shared" si="48"/>
        <v>25.886708534316849</v>
      </c>
    </row>
    <row r="398" spans="1:21" x14ac:dyDescent="0.3">
      <c r="A398" s="2">
        <v>45626</v>
      </c>
      <c r="B398" t="s">
        <v>17</v>
      </c>
      <c r="C398" t="s">
        <v>22</v>
      </c>
      <c r="D398" t="s">
        <v>27</v>
      </c>
      <c r="E398" t="s">
        <v>28</v>
      </c>
      <c r="F398">
        <v>80454</v>
      </c>
      <c r="G398">
        <v>5850</v>
      </c>
      <c r="H398">
        <v>1090</v>
      </c>
      <c r="I398">
        <v>544</v>
      </c>
      <c r="J398">
        <v>298</v>
      </c>
      <c r="K398" s="4">
        <v>70151.88</v>
      </c>
      <c r="L398" s="4">
        <v>1542618.67</v>
      </c>
      <c r="M398" t="s">
        <v>31</v>
      </c>
      <c r="N398">
        <f t="shared" si="42"/>
        <v>1</v>
      </c>
      <c r="O398" t="str">
        <f>IF(AND(G398&lt;=F398,H398&lt;=G398,I398&lt;=H398,J398&lt;=I398),"OK","Check")</f>
        <v>OK</v>
      </c>
      <c r="P398" s="6">
        <f t="shared" si="43"/>
        <v>7.2712357371914376</v>
      </c>
      <c r="Q398" s="6">
        <f t="shared" si="44"/>
        <v>18.632478632478634</v>
      </c>
      <c r="R398" s="6">
        <f t="shared" si="45"/>
        <v>49.908256880733944</v>
      </c>
      <c r="S398" s="6">
        <f t="shared" si="46"/>
        <v>54.779411764705884</v>
      </c>
      <c r="T398" s="6">
        <f t="shared" si="47"/>
        <v>2098.9698209085768</v>
      </c>
      <c r="U398" s="6">
        <f t="shared" si="48"/>
        <v>21.98969820908577</v>
      </c>
    </row>
    <row r="399" spans="1:21" x14ac:dyDescent="0.3">
      <c r="A399" s="2">
        <v>45627</v>
      </c>
      <c r="B399" t="s">
        <v>17</v>
      </c>
      <c r="C399" t="s">
        <v>22</v>
      </c>
      <c r="D399" t="s">
        <v>27</v>
      </c>
      <c r="E399" t="s">
        <v>29</v>
      </c>
      <c r="F399">
        <v>197437</v>
      </c>
      <c r="G399">
        <v>15661</v>
      </c>
      <c r="H399">
        <v>3170</v>
      </c>
      <c r="I399">
        <v>2036</v>
      </c>
      <c r="J399">
        <v>967</v>
      </c>
      <c r="K399" s="4">
        <v>126999.65</v>
      </c>
      <c r="L399" s="4">
        <v>3380862.13</v>
      </c>
      <c r="M399" t="s">
        <v>35</v>
      </c>
      <c r="N399">
        <f t="shared" si="42"/>
        <v>1</v>
      </c>
      <c r="O399" t="str">
        <f>IF(AND(G399&lt;=F399,H399&lt;=G399,I399&lt;=H399,J399&lt;=I399),"OK","Check")</f>
        <v>OK</v>
      </c>
      <c r="P399" s="6">
        <f t="shared" si="43"/>
        <v>7.9321505087698867</v>
      </c>
      <c r="Q399" s="6">
        <f t="shared" si="44"/>
        <v>20.241363897579976</v>
      </c>
      <c r="R399" s="6">
        <f t="shared" si="45"/>
        <v>64.227129337539438</v>
      </c>
      <c r="S399" s="6">
        <f t="shared" si="46"/>
        <v>47.495088408644399</v>
      </c>
      <c r="T399" s="6">
        <f t="shared" si="47"/>
        <v>2562.1035018600446</v>
      </c>
      <c r="U399" s="6">
        <f t="shared" si="48"/>
        <v>26.621035018600445</v>
      </c>
    </row>
    <row r="400" spans="1:21" x14ac:dyDescent="0.3">
      <c r="A400" s="2">
        <v>45628</v>
      </c>
      <c r="B400" t="s">
        <v>17</v>
      </c>
      <c r="C400" t="s">
        <v>22</v>
      </c>
      <c r="D400" t="s">
        <v>27</v>
      </c>
      <c r="E400" t="s">
        <v>30</v>
      </c>
      <c r="F400">
        <v>89542</v>
      </c>
      <c r="G400">
        <v>6519</v>
      </c>
      <c r="H400">
        <v>1086</v>
      </c>
      <c r="I400">
        <v>697</v>
      </c>
      <c r="J400">
        <v>285</v>
      </c>
      <c r="K400" s="4">
        <v>60866.25</v>
      </c>
      <c r="L400" s="4">
        <v>1813988.18</v>
      </c>
      <c r="M400" t="s">
        <v>35</v>
      </c>
      <c r="N400">
        <f t="shared" si="42"/>
        <v>1</v>
      </c>
      <c r="O400" t="str">
        <f>IF(AND(G400&lt;=F400,H400&lt;=G400,I400&lt;=H400,J400&lt;=I400),"OK","Check")</f>
        <v>OK</v>
      </c>
      <c r="P400" s="6">
        <f t="shared" si="43"/>
        <v>7.2803823903866345</v>
      </c>
      <c r="Q400" s="6">
        <f t="shared" si="44"/>
        <v>16.65899677864703</v>
      </c>
      <c r="R400" s="6">
        <f t="shared" si="45"/>
        <v>64.180478821362797</v>
      </c>
      <c r="S400" s="6">
        <f t="shared" si="46"/>
        <v>40.889526542324248</v>
      </c>
      <c r="T400" s="6">
        <f t="shared" si="47"/>
        <v>2880.2857577064465</v>
      </c>
      <c r="U400" s="6">
        <f t="shared" si="48"/>
        <v>29.802857577064465</v>
      </c>
    </row>
    <row r="401" spans="1:21" x14ac:dyDescent="0.3">
      <c r="A401" s="2">
        <v>45629</v>
      </c>
      <c r="B401" t="s">
        <v>17</v>
      </c>
      <c r="C401" t="s">
        <v>22</v>
      </c>
      <c r="D401" t="s">
        <v>27</v>
      </c>
      <c r="E401" t="s">
        <v>29</v>
      </c>
      <c r="F401">
        <v>264827</v>
      </c>
      <c r="G401">
        <v>17541</v>
      </c>
      <c r="H401">
        <v>3210</v>
      </c>
      <c r="I401">
        <v>1832</v>
      </c>
      <c r="J401">
        <v>918</v>
      </c>
      <c r="K401" s="4">
        <v>239779.4</v>
      </c>
      <c r="L401" s="4">
        <v>4492737.47</v>
      </c>
      <c r="M401" t="s">
        <v>33</v>
      </c>
      <c r="N401">
        <f t="shared" si="42"/>
        <v>1</v>
      </c>
      <c r="O401" t="str">
        <f>IF(AND(G401&lt;=F401,H401&lt;=G401,I401&lt;=H401,J401&lt;=I401),"OK","Check")</f>
        <v>OK</v>
      </c>
      <c r="P401" s="6">
        <f t="shared" si="43"/>
        <v>6.6235693490467362</v>
      </c>
      <c r="Q401" s="6">
        <f t="shared" si="44"/>
        <v>18.299982897212246</v>
      </c>
      <c r="R401" s="6">
        <f t="shared" si="45"/>
        <v>57.071651090342677</v>
      </c>
      <c r="S401" s="6">
        <f t="shared" si="46"/>
        <v>50.109170305676855</v>
      </c>
      <c r="T401" s="6">
        <f t="shared" si="47"/>
        <v>1773.696184909963</v>
      </c>
      <c r="U401" s="6">
        <f t="shared" si="48"/>
        <v>18.736961849099629</v>
      </c>
    </row>
    <row r="402" spans="1:21" x14ac:dyDescent="0.3">
      <c r="A402" s="2">
        <v>45630</v>
      </c>
      <c r="B402" t="s">
        <v>17</v>
      </c>
      <c r="C402" t="s">
        <v>22</v>
      </c>
      <c r="D402" t="s">
        <v>27</v>
      </c>
      <c r="E402" t="s">
        <v>30</v>
      </c>
      <c r="F402">
        <v>246484</v>
      </c>
      <c r="G402">
        <v>15426</v>
      </c>
      <c r="H402">
        <v>3748</v>
      </c>
      <c r="I402">
        <v>2056</v>
      </c>
      <c r="J402">
        <v>1100</v>
      </c>
      <c r="K402" s="4">
        <v>197907.72</v>
      </c>
      <c r="L402" s="4">
        <v>3733897.51</v>
      </c>
      <c r="M402" t="s">
        <v>33</v>
      </c>
      <c r="N402">
        <f t="shared" si="42"/>
        <v>1</v>
      </c>
      <c r="O402" t="str">
        <f>IF(AND(G402&lt;=F402,H402&lt;=G402,I402&lt;=H402,J402&lt;=I402),"OK","Check")</f>
        <v>OK</v>
      </c>
      <c r="P402" s="6">
        <f t="shared" si="43"/>
        <v>6.2584183963259283</v>
      </c>
      <c r="Q402" s="6">
        <f t="shared" si="44"/>
        <v>24.296642032931416</v>
      </c>
      <c r="R402" s="6">
        <f t="shared" si="45"/>
        <v>54.85592315901814</v>
      </c>
      <c r="S402" s="6">
        <f t="shared" si="46"/>
        <v>53.501945525291831</v>
      </c>
      <c r="T402" s="6">
        <f t="shared" si="47"/>
        <v>1786.6861333150621</v>
      </c>
      <c r="U402" s="6">
        <f t="shared" si="48"/>
        <v>18.86686133315062</v>
      </c>
    </row>
    <row r="403" spans="1:21" x14ac:dyDescent="0.3">
      <c r="A403" s="2">
        <v>45631</v>
      </c>
      <c r="B403" t="s">
        <v>17</v>
      </c>
      <c r="C403" t="s">
        <v>22</v>
      </c>
      <c r="D403" t="s">
        <v>27</v>
      </c>
      <c r="E403" t="s">
        <v>28</v>
      </c>
      <c r="F403">
        <v>166847</v>
      </c>
      <c r="G403">
        <v>6747</v>
      </c>
      <c r="H403">
        <v>1403</v>
      </c>
      <c r="I403">
        <v>818</v>
      </c>
      <c r="J403">
        <v>471</v>
      </c>
      <c r="K403" s="4">
        <v>125046.51</v>
      </c>
      <c r="L403" s="4">
        <v>1803264.94</v>
      </c>
      <c r="M403" t="s">
        <v>31</v>
      </c>
      <c r="N403">
        <f t="shared" si="42"/>
        <v>1</v>
      </c>
      <c r="O403" t="str">
        <f>IF(AND(G403&lt;=F403,H403&lt;=G403,I403&lt;=H403,J403&lt;=I403),"OK","Check")</f>
        <v>OK</v>
      </c>
      <c r="P403" s="6">
        <f t="shared" si="43"/>
        <v>4.0438245818024896</v>
      </c>
      <c r="Q403" s="6">
        <f t="shared" si="44"/>
        <v>20.794427152808655</v>
      </c>
      <c r="R403" s="6">
        <f t="shared" si="45"/>
        <v>58.303635067712044</v>
      </c>
      <c r="S403" s="6">
        <f t="shared" si="46"/>
        <v>57.579462102689483</v>
      </c>
      <c r="T403" s="6">
        <f t="shared" si="47"/>
        <v>1342.0753845909014</v>
      </c>
      <c r="U403" s="6">
        <f t="shared" si="48"/>
        <v>14.420753845909015</v>
      </c>
    </row>
    <row r="404" spans="1:21" x14ac:dyDescent="0.3">
      <c r="A404" s="2">
        <v>45632</v>
      </c>
      <c r="B404" t="s">
        <v>17</v>
      </c>
      <c r="C404" t="s">
        <v>22</v>
      </c>
      <c r="D404" t="s">
        <v>27</v>
      </c>
      <c r="E404" t="s">
        <v>29</v>
      </c>
      <c r="F404">
        <v>159764</v>
      </c>
      <c r="G404">
        <v>8942</v>
      </c>
      <c r="H404">
        <v>1411</v>
      </c>
      <c r="I404">
        <v>644</v>
      </c>
      <c r="J404">
        <v>294</v>
      </c>
      <c r="K404" s="4">
        <v>90588.72</v>
      </c>
      <c r="L404" s="4">
        <v>1354157.21</v>
      </c>
      <c r="M404" t="s">
        <v>31</v>
      </c>
      <c r="N404">
        <f t="shared" si="42"/>
        <v>1</v>
      </c>
      <c r="O404" t="str">
        <f>IF(AND(G404&lt;=F404,H404&lt;=G404,I404&lt;=H404,J404&lt;=I404),"OK","Check")</f>
        <v>OK</v>
      </c>
      <c r="P404" s="6">
        <f t="shared" si="43"/>
        <v>5.5970055832352719</v>
      </c>
      <c r="Q404" s="6">
        <f t="shared" si="44"/>
        <v>15.779467680608365</v>
      </c>
      <c r="R404" s="6">
        <f t="shared" si="45"/>
        <v>45.641389085754788</v>
      </c>
      <c r="S404" s="6">
        <f t="shared" si="46"/>
        <v>45.652173913043477</v>
      </c>
      <c r="T404" s="6">
        <f t="shared" si="47"/>
        <v>1394.8408698124888</v>
      </c>
      <c r="U404" s="6">
        <f t="shared" si="48"/>
        <v>14.948408698124886</v>
      </c>
    </row>
    <row r="405" spans="1:21" x14ac:dyDescent="0.3">
      <c r="A405" s="2">
        <v>45633</v>
      </c>
      <c r="B405" t="s">
        <v>17</v>
      </c>
      <c r="C405" t="s">
        <v>22</v>
      </c>
      <c r="D405" t="s">
        <v>27</v>
      </c>
      <c r="E405" t="s">
        <v>28</v>
      </c>
      <c r="F405">
        <v>102163</v>
      </c>
      <c r="G405">
        <v>5048</v>
      </c>
      <c r="H405">
        <v>1064</v>
      </c>
      <c r="I405">
        <v>661</v>
      </c>
      <c r="J405">
        <v>327</v>
      </c>
      <c r="K405" s="4">
        <v>60848.34</v>
      </c>
      <c r="L405" s="4">
        <v>2575367.84</v>
      </c>
      <c r="M405" t="s">
        <v>34</v>
      </c>
      <c r="N405">
        <f t="shared" si="42"/>
        <v>1</v>
      </c>
      <c r="O405" t="str">
        <f>IF(AND(G405&lt;=F405,H405&lt;=G405,I405&lt;=H405,J405&lt;=I405),"OK","Check")</f>
        <v>OK</v>
      </c>
      <c r="P405" s="6">
        <f t="shared" si="43"/>
        <v>4.9411234987226296</v>
      </c>
      <c r="Q405" s="6">
        <f t="shared" si="44"/>
        <v>21.077654516640255</v>
      </c>
      <c r="R405" s="6">
        <f t="shared" si="45"/>
        <v>62.124060150375939</v>
      </c>
      <c r="S405" s="6">
        <f t="shared" si="46"/>
        <v>49.470499243570352</v>
      </c>
      <c r="T405" s="6">
        <f t="shared" si="47"/>
        <v>4132.4373023158887</v>
      </c>
      <c r="U405" s="6">
        <f t="shared" si="48"/>
        <v>42.324373023158891</v>
      </c>
    </row>
    <row r="406" spans="1:21" x14ac:dyDescent="0.3">
      <c r="A406" s="2">
        <v>45634</v>
      </c>
      <c r="B406" t="s">
        <v>17</v>
      </c>
      <c r="C406" t="s">
        <v>22</v>
      </c>
      <c r="D406" t="s">
        <v>27</v>
      </c>
      <c r="E406" t="s">
        <v>30</v>
      </c>
      <c r="F406">
        <v>126853</v>
      </c>
      <c r="G406">
        <v>7221</v>
      </c>
      <c r="H406">
        <v>1286</v>
      </c>
      <c r="I406">
        <v>797</v>
      </c>
      <c r="J406">
        <v>398</v>
      </c>
      <c r="K406" s="4">
        <v>50966.79</v>
      </c>
      <c r="L406" s="4">
        <v>2508469.86</v>
      </c>
      <c r="M406" t="s">
        <v>34</v>
      </c>
      <c r="N406">
        <f t="shared" si="42"/>
        <v>1</v>
      </c>
      <c r="O406" t="str">
        <f>IF(AND(G406&lt;=F406,H406&lt;=G406,I406&lt;=H406,J406&lt;=I406),"OK","Check")</f>
        <v>OK</v>
      </c>
      <c r="P406" s="6">
        <f t="shared" si="43"/>
        <v>5.6924156306906424</v>
      </c>
      <c r="Q406" s="6">
        <f t="shared" si="44"/>
        <v>17.809167705303974</v>
      </c>
      <c r="R406" s="6">
        <f t="shared" si="45"/>
        <v>61.975116640746499</v>
      </c>
      <c r="S406" s="6">
        <f t="shared" si="46"/>
        <v>49.937264742785445</v>
      </c>
      <c r="T406" s="6">
        <f t="shared" si="47"/>
        <v>4821.773295905039</v>
      </c>
      <c r="U406" s="6">
        <f t="shared" si="48"/>
        <v>49.217732959050387</v>
      </c>
    </row>
    <row r="407" spans="1:21" x14ac:dyDescent="0.3">
      <c r="A407" s="2">
        <v>45635</v>
      </c>
      <c r="B407" t="s">
        <v>17</v>
      </c>
      <c r="C407" t="s">
        <v>22</v>
      </c>
      <c r="D407" t="s">
        <v>27</v>
      </c>
      <c r="E407" t="s">
        <v>30</v>
      </c>
      <c r="F407">
        <v>220003</v>
      </c>
      <c r="G407">
        <v>12964</v>
      </c>
      <c r="H407">
        <v>2716</v>
      </c>
      <c r="I407">
        <v>1272</v>
      </c>
      <c r="J407">
        <v>714</v>
      </c>
      <c r="K407" s="4">
        <v>149924.94</v>
      </c>
      <c r="L407" s="4">
        <v>5270433.16</v>
      </c>
      <c r="M407" t="s">
        <v>35</v>
      </c>
      <c r="N407">
        <f t="shared" si="42"/>
        <v>1</v>
      </c>
      <c r="O407" t="str">
        <f>IF(AND(G407&lt;=F407,H407&lt;=G407,I407&lt;=H407,J407&lt;=I407),"OK","Check")</f>
        <v>OK</v>
      </c>
      <c r="P407" s="6">
        <f t="shared" si="43"/>
        <v>5.8926469184511117</v>
      </c>
      <c r="Q407" s="6">
        <f t="shared" si="44"/>
        <v>20.950323974082075</v>
      </c>
      <c r="R407" s="6">
        <f t="shared" si="45"/>
        <v>46.833578792341676</v>
      </c>
      <c r="S407" s="6">
        <f t="shared" si="46"/>
        <v>56.132075471698116</v>
      </c>
      <c r="T407" s="6">
        <f t="shared" si="47"/>
        <v>3415.3812034208586</v>
      </c>
      <c r="U407" s="6">
        <f t="shared" si="48"/>
        <v>35.153812034208585</v>
      </c>
    </row>
    <row r="408" spans="1:21" x14ac:dyDescent="0.3">
      <c r="A408" s="2">
        <v>45636</v>
      </c>
      <c r="B408" t="s">
        <v>17</v>
      </c>
      <c r="C408" t="s">
        <v>22</v>
      </c>
      <c r="D408" t="s">
        <v>27</v>
      </c>
      <c r="E408" t="s">
        <v>28</v>
      </c>
      <c r="F408">
        <v>201824</v>
      </c>
      <c r="G408">
        <v>7307</v>
      </c>
      <c r="H408">
        <v>1450</v>
      </c>
      <c r="I408">
        <v>689</v>
      </c>
      <c r="J408">
        <v>362</v>
      </c>
      <c r="K408" s="4">
        <v>150905.54999999999</v>
      </c>
      <c r="L408" s="4">
        <v>1905071.16</v>
      </c>
      <c r="M408" t="s">
        <v>31</v>
      </c>
      <c r="N408">
        <f t="shared" si="42"/>
        <v>1</v>
      </c>
      <c r="O408" t="str">
        <f>IF(AND(G408&lt;=F408,H408&lt;=G408,I408&lt;=H408,J408&lt;=I408),"OK","Check")</f>
        <v>OK</v>
      </c>
      <c r="P408" s="6">
        <f t="shared" si="43"/>
        <v>3.6204812113524656</v>
      </c>
      <c r="Q408" s="6">
        <f t="shared" si="44"/>
        <v>19.843985219652389</v>
      </c>
      <c r="R408" s="6">
        <f t="shared" si="45"/>
        <v>47.517241379310342</v>
      </c>
      <c r="S408" s="6">
        <f t="shared" si="46"/>
        <v>52.539912917271401</v>
      </c>
      <c r="T408" s="6">
        <f t="shared" si="47"/>
        <v>1162.4261731924373</v>
      </c>
      <c r="U408" s="6">
        <f t="shared" si="48"/>
        <v>12.624261731924372</v>
      </c>
    </row>
    <row r="409" spans="1:21" x14ac:dyDescent="0.3">
      <c r="A409" s="2">
        <v>45637</v>
      </c>
      <c r="B409" t="s">
        <v>17</v>
      </c>
      <c r="C409" t="s">
        <v>22</v>
      </c>
      <c r="D409" t="s">
        <v>27</v>
      </c>
      <c r="E409" t="s">
        <v>29</v>
      </c>
      <c r="F409">
        <v>250260</v>
      </c>
      <c r="G409">
        <v>19853</v>
      </c>
      <c r="H409">
        <v>3492</v>
      </c>
      <c r="I409">
        <v>1798</v>
      </c>
      <c r="J409">
        <v>784</v>
      </c>
      <c r="K409" s="4">
        <v>135506.91</v>
      </c>
      <c r="L409" s="4">
        <v>2906425.19</v>
      </c>
      <c r="M409" t="s">
        <v>34</v>
      </c>
      <c r="N409">
        <f t="shared" si="42"/>
        <v>1</v>
      </c>
      <c r="O409" t="str">
        <f>IF(AND(G409&lt;=F409,H409&lt;=G409,I409&lt;=H409,J409&lt;=I409),"OK","Check")</f>
        <v>OK</v>
      </c>
      <c r="P409" s="6">
        <f t="shared" si="43"/>
        <v>7.9329497322784297</v>
      </c>
      <c r="Q409" s="6">
        <f t="shared" si="44"/>
        <v>17.589281216944542</v>
      </c>
      <c r="R409" s="6">
        <f t="shared" si="45"/>
        <v>51.489117983963339</v>
      </c>
      <c r="S409" s="6">
        <f t="shared" si="46"/>
        <v>43.604004449388214</v>
      </c>
      <c r="T409" s="6">
        <f t="shared" si="47"/>
        <v>2044.8538602201168</v>
      </c>
      <c r="U409" s="6">
        <f t="shared" si="48"/>
        <v>21.448538602201172</v>
      </c>
    </row>
    <row r="410" spans="1:21" x14ac:dyDescent="0.3">
      <c r="A410" s="2">
        <v>45638</v>
      </c>
      <c r="B410" t="s">
        <v>17</v>
      </c>
      <c r="C410" t="s">
        <v>22</v>
      </c>
      <c r="D410" t="s">
        <v>27</v>
      </c>
      <c r="E410" t="s">
        <v>30</v>
      </c>
      <c r="F410">
        <v>135664</v>
      </c>
      <c r="G410">
        <v>4928</v>
      </c>
      <c r="H410">
        <v>1186</v>
      </c>
      <c r="I410">
        <v>699</v>
      </c>
      <c r="J410">
        <v>396</v>
      </c>
      <c r="K410" s="4">
        <v>57125.919999999998</v>
      </c>
      <c r="L410" s="4">
        <v>2556577.29</v>
      </c>
      <c r="M410" t="s">
        <v>34</v>
      </c>
      <c r="N410">
        <f t="shared" si="42"/>
        <v>1</v>
      </c>
      <c r="O410" t="str">
        <f>IF(AND(G410&lt;=F410,H410&lt;=G410,I410&lt;=H410,J410&lt;=I410),"OK","Check")</f>
        <v>OK</v>
      </c>
      <c r="P410" s="6">
        <f t="shared" si="43"/>
        <v>3.6325038329991748</v>
      </c>
      <c r="Q410" s="6">
        <f t="shared" si="44"/>
        <v>24.066558441558442</v>
      </c>
      <c r="R410" s="6">
        <f t="shared" si="45"/>
        <v>58.937605396290053</v>
      </c>
      <c r="S410" s="6">
        <f t="shared" si="46"/>
        <v>56.652360515021464</v>
      </c>
      <c r="T410" s="6">
        <f t="shared" si="47"/>
        <v>4375.3367473119033</v>
      </c>
      <c r="U410" s="6">
        <f t="shared" si="48"/>
        <v>44.753367473119035</v>
      </c>
    </row>
    <row r="411" spans="1:21" x14ac:dyDescent="0.3">
      <c r="A411" s="2">
        <v>45639</v>
      </c>
      <c r="B411" t="s">
        <v>17</v>
      </c>
      <c r="C411" t="s">
        <v>22</v>
      </c>
      <c r="D411" t="s">
        <v>27</v>
      </c>
      <c r="E411" t="s">
        <v>30</v>
      </c>
      <c r="F411">
        <v>160397</v>
      </c>
      <c r="G411">
        <v>9855</v>
      </c>
      <c r="H411">
        <v>1850</v>
      </c>
      <c r="I411">
        <v>945</v>
      </c>
      <c r="J411">
        <v>509</v>
      </c>
      <c r="K411" s="4">
        <v>66687.61</v>
      </c>
      <c r="L411" s="4">
        <v>2358767.81</v>
      </c>
      <c r="M411" t="s">
        <v>31</v>
      </c>
      <c r="N411">
        <f t="shared" si="42"/>
        <v>1</v>
      </c>
      <c r="O411" t="str">
        <f>IF(AND(G411&lt;=F411,H411&lt;=G411,I411&lt;=H411,J411&lt;=I411),"OK","Check")</f>
        <v>OK</v>
      </c>
      <c r="P411" s="6">
        <f t="shared" si="43"/>
        <v>6.1441298777408555</v>
      </c>
      <c r="Q411" s="6">
        <f t="shared" si="44"/>
        <v>18.772196854388636</v>
      </c>
      <c r="R411" s="6">
        <f t="shared" si="45"/>
        <v>51.081081081081081</v>
      </c>
      <c r="S411" s="6">
        <f t="shared" si="46"/>
        <v>53.862433862433868</v>
      </c>
      <c r="T411" s="6">
        <f t="shared" si="47"/>
        <v>3437.0405537100523</v>
      </c>
      <c r="U411" s="6">
        <f t="shared" si="48"/>
        <v>35.370405537100524</v>
      </c>
    </row>
    <row r="412" spans="1:21" x14ac:dyDescent="0.3">
      <c r="A412" s="2">
        <v>45640</v>
      </c>
      <c r="B412" t="s">
        <v>17</v>
      </c>
      <c r="C412" t="s">
        <v>22</v>
      </c>
      <c r="D412" t="s">
        <v>27</v>
      </c>
      <c r="E412" t="s">
        <v>28</v>
      </c>
      <c r="F412">
        <v>79723</v>
      </c>
      <c r="G412">
        <v>3466</v>
      </c>
      <c r="H412">
        <v>546</v>
      </c>
      <c r="I412">
        <v>277</v>
      </c>
      <c r="J412">
        <v>162</v>
      </c>
      <c r="K412" s="4">
        <v>45007.68</v>
      </c>
      <c r="L412" s="4">
        <v>714695.19</v>
      </c>
      <c r="M412" t="s">
        <v>31</v>
      </c>
      <c r="N412">
        <f t="shared" si="42"/>
        <v>1</v>
      </c>
      <c r="O412" t="str">
        <f>IF(AND(G412&lt;=F412,H412&lt;=G412,I412&lt;=H412,J412&lt;=I412),"OK","Check")</f>
        <v>OK</v>
      </c>
      <c r="P412" s="6">
        <f t="shared" si="43"/>
        <v>4.3475534036601733</v>
      </c>
      <c r="Q412" s="6">
        <f t="shared" si="44"/>
        <v>15.753029428736296</v>
      </c>
      <c r="R412" s="6">
        <f t="shared" si="45"/>
        <v>50.73260073260073</v>
      </c>
      <c r="S412" s="6">
        <f t="shared" si="46"/>
        <v>58.483754512635379</v>
      </c>
      <c r="T412" s="6">
        <f t="shared" si="47"/>
        <v>1487.9405248170976</v>
      </c>
      <c r="U412" s="6">
        <f t="shared" si="48"/>
        <v>15.879405248170977</v>
      </c>
    </row>
    <row r="413" spans="1:21" x14ac:dyDescent="0.3">
      <c r="A413" s="2">
        <v>45641</v>
      </c>
      <c r="B413" t="s">
        <v>17</v>
      </c>
      <c r="C413" t="s">
        <v>22</v>
      </c>
      <c r="D413" t="s">
        <v>27</v>
      </c>
      <c r="E413" t="s">
        <v>30</v>
      </c>
      <c r="F413">
        <v>152326</v>
      </c>
      <c r="G413">
        <v>8620</v>
      </c>
      <c r="H413">
        <v>2136</v>
      </c>
      <c r="I413">
        <v>1366</v>
      </c>
      <c r="J413">
        <v>558</v>
      </c>
      <c r="K413" s="4">
        <v>144403.81</v>
      </c>
      <c r="L413" s="4">
        <v>4066244.11</v>
      </c>
      <c r="M413" t="s">
        <v>33</v>
      </c>
      <c r="N413">
        <f t="shared" si="42"/>
        <v>1</v>
      </c>
      <c r="O413" t="str">
        <f>IF(AND(G413&lt;=F413,H413&lt;=G413,I413&lt;=H413,J413&lt;=I413),"OK","Check")</f>
        <v>OK</v>
      </c>
      <c r="P413" s="6">
        <f t="shared" si="43"/>
        <v>5.6589157464910782</v>
      </c>
      <c r="Q413" s="6">
        <f t="shared" si="44"/>
        <v>24.779582366589327</v>
      </c>
      <c r="R413" s="6">
        <f t="shared" si="45"/>
        <v>63.951310861423217</v>
      </c>
      <c r="S413" s="6">
        <f t="shared" si="46"/>
        <v>40.849194729136165</v>
      </c>
      <c r="T413" s="6">
        <f t="shared" si="47"/>
        <v>2715.8842277083963</v>
      </c>
      <c r="U413" s="6">
        <f t="shared" si="48"/>
        <v>28.158842277083963</v>
      </c>
    </row>
    <row r="414" spans="1:21" x14ac:dyDescent="0.3">
      <c r="A414" s="2">
        <v>45642</v>
      </c>
      <c r="B414" t="s">
        <v>17</v>
      </c>
      <c r="C414" t="s">
        <v>22</v>
      </c>
      <c r="D414" t="s">
        <v>27</v>
      </c>
      <c r="E414" t="s">
        <v>30</v>
      </c>
      <c r="F414">
        <v>215008</v>
      </c>
      <c r="G414">
        <v>12718</v>
      </c>
      <c r="H414">
        <v>3010</v>
      </c>
      <c r="I414">
        <v>1775</v>
      </c>
      <c r="J414">
        <v>928</v>
      </c>
      <c r="K414" s="4">
        <v>185494.55</v>
      </c>
      <c r="L414" s="4">
        <v>5966828.5599999996</v>
      </c>
      <c r="M414" t="s">
        <v>33</v>
      </c>
      <c r="N414">
        <f t="shared" si="42"/>
        <v>1</v>
      </c>
      <c r="O414" t="str">
        <f>IF(AND(G414&lt;=F414,H414&lt;=G414,I414&lt;=H414,J414&lt;=I414),"OK","Check")</f>
        <v>OK</v>
      </c>
      <c r="P414" s="6">
        <f t="shared" si="43"/>
        <v>5.915128739395743</v>
      </c>
      <c r="Q414" s="6">
        <f t="shared" si="44"/>
        <v>23.66724327724485</v>
      </c>
      <c r="R414" s="6">
        <f t="shared" si="45"/>
        <v>58.970099667774093</v>
      </c>
      <c r="S414" s="6">
        <f t="shared" si="46"/>
        <v>52.281690140845072</v>
      </c>
      <c r="T414" s="6">
        <f t="shared" si="47"/>
        <v>3116.7136770325596</v>
      </c>
      <c r="U414" s="6">
        <f t="shared" si="48"/>
        <v>32.167136770325598</v>
      </c>
    </row>
    <row r="415" spans="1:21" x14ac:dyDescent="0.3">
      <c r="A415" s="2">
        <v>45643</v>
      </c>
      <c r="B415" t="s">
        <v>17</v>
      </c>
      <c r="C415" t="s">
        <v>22</v>
      </c>
      <c r="D415" t="s">
        <v>27</v>
      </c>
      <c r="E415" t="s">
        <v>30</v>
      </c>
      <c r="F415">
        <v>226154</v>
      </c>
      <c r="G415">
        <v>6787</v>
      </c>
      <c r="H415">
        <v>1355</v>
      </c>
      <c r="I415">
        <v>775</v>
      </c>
      <c r="J415">
        <v>413</v>
      </c>
      <c r="K415" s="4">
        <v>127284.48</v>
      </c>
      <c r="L415" s="4">
        <v>3048285.96</v>
      </c>
      <c r="M415" t="s">
        <v>35</v>
      </c>
      <c r="N415">
        <f t="shared" si="42"/>
        <v>1</v>
      </c>
      <c r="O415" t="str">
        <f>IF(AND(G415&lt;=F415,H415&lt;=G415,I415&lt;=H415,J415&lt;=I415),"OK","Check")</f>
        <v>OK</v>
      </c>
      <c r="P415" s="6">
        <f t="shared" si="43"/>
        <v>3.0010523802364757</v>
      </c>
      <c r="Q415" s="6">
        <f t="shared" si="44"/>
        <v>19.964638279062914</v>
      </c>
      <c r="R415" s="6">
        <f t="shared" si="45"/>
        <v>57.195571955719558</v>
      </c>
      <c r="S415" s="6">
        <f t="shared" si="46"/>
        <v>53.290322580645167</v>
      </c>
      <c r="T415" s="6">
        <f t="shared" si="47"/>
        <v>2294.8606774368718</v>
      </c>
      <c r="U415" s="6">
        <f t="shared" si="48"/>
        <v>23.94860677436872</v>
      </c>
    </row>
    <row r="416" spans="1:21" x14ac:dyDescent="0.3">
      <c r="A416" s="2">
        <v>45644</v>
      </c>
      <c r="B416" t="s">
        <v>17</v>
      </c>
      <c r="C416" t="s">
        <v>22</v>
      </c>
      <c r="D416" t="s">
        <v>27</v>
      </c>
      <c r="E416" t="s">
        <v>29</v>
      </c>
      <c r="F416">
        <v>65380</v>
      </c>
      <c r="G416">
        <v>3622</v>
      </c>
      <c r="H416">
        <v>886</v>
      </c>
      <c r="I416">
        <v>466</v>
      </c>
      <c r="J416">
        <v>197</v>
      </c>
      <c r="K416" s="4">
        <v>38280.769999999997</v>
      </c>
      <c r="L416" s="4">
        <v>618935.67000000004</v>
      </c>
      <c r="M416" t="s">
        <v>35</v>
      </c>
      <c r="N416">
        <f t="shared" si="42"/>
        <v>1</v>
      </c>
      <c r="O416" t="str">
        <f>IF(AND(G416&lt;=F416,H416&lt;=G416,I416&lt;=H416,J416&lt;=I416),"OK","Check")</f>
        <v>OK</v>
      </c>
      <c r="P416" s="6">
        <f t="shared" si="43"/>
        <v>5.5399204649739984</v>
      </c>
      <c r="Q416" s="6">
        <f t="shared" si="44"/>
        <v>24.461623412479295</v>
      </c>
      <c r="R416" s="6">
        <f t="shared" si="45"/>
        <v>52.595936794582386</v>
      </c>
      <c r="S416" s="6">
        <f t="shared" si="46"/>
        <v>42.274678111587981</v>
      </c>
      <c r="T416" s="6">
        <f t="shared" si="47"/>
        <v>1516.831819213668</v>
      </c>
      <c r="U416" s="6">
        <f t="shared" si="48"/>
        <v>16.168318192136681</v>
      </c>
    </row>
    <row r="417" spans="1:21" x14ac:dyDescent="0.3">
      <c r="A417" s="2">
        <v>45645</v>
      </c>
      <c r="B417" t="s">
        <v>17</v>
      </c>
      <c r="C417" t="s">
        <v>22</v>
      </c>
      <c r="D417" t="s">
        <v>27</v>
      </c>
      <c r="E417" t="s">
        <v>28</v>
      </c>
      <c r="F417">
        <v>64816</v>
      </c>
      <c r="G417">
        <v>4503</v>
      </c>
      <c r="H417">
        <v>783</v>
      </c>
      <c r="I417">
        <v>385</v>
      </c>
      <c r="J417">
        <v>198</v>
      </c>
      <c r="K417" s="4">
        <v>36917.17</v>
      </c>
      <c r="L417" s="4">
        <v>1292747.3500000001</v>
      </c>
      <c r="M417" t="s">
        <v>32</v>
      </c>
      <c r="N417">
        <f t="shared" si="42"/>
        <v>1</v>
      </c>
      <c r="O417" t="str">
        <f>IF(AND(G417&lt;=F417,H417&lt;=G417,I417&lt;=H417,J417&lt;=I417),"OK","Check")</f>
        <v>OK</v>
      </c>
      <c r="P417" s="6">
        <f t="shared" si="43"/>
        <v>6.947358676869908</v>
      </c>
      <c r="Q417" s="6">
        <f t="shared" si="44"/>
        <v>17.388407728181214</v>
      </c>
      <c r="R417" s="6">
        <f t="shared" si="45"/>
        <v>49.169859514687104</v>
      </c>
      <c r="S417" s="6">
        <f t="shared" si="46"/>
        <v>51.428571428571423</v>
      </c>
      <c r="T417" s="6">
        <f t="shared" si="47"/>
        <v>3401.7509467816744</v>
      </c>
      <c r="U417" s="6">
        <f t="shared" si="48"/>
        <v>35.017509467816744</v>
      </c>
    </row>
    <row r="418" spans="1:21" x14ac:dyDescent="0.3">
      <c r="A418" s="2">
        <v>45646</v>
      </c>
      <c r="B418" t="s">
        <v>17</v>
      </c>
      <c r="C418" t="s">
        <v>22</v>
      </c>
      <c r="D418" t="s">
        <v>27</v>
      </c>
      <c r="E418" t="s">
        <v>30</v>
      </c>
      <c r="F418">
        <v>129732</v>
      </c>
      <c r="G418">
        <v>6744</v>
      </c>
      <c r="H418">
        <v>1532</v>
      </c>
      <c r="I418">
        <v>866</v>
      </c>
      <c r="J418">
        <v>459</v>
      </c>
      <c r="K418" s="4">
        <v>59861.08</v>
      </c>
      <c r="L418" s="4">
        <v>3616448.38</v>
      </c>
      <c r="M418" t="s">
        <v>33</v>
      </c>
      <c r="N418">
        <f t="shared" si="42"/>
        <v>1</v>
      </c>
      <c r="O418" t="str">
        <f>IF(AND(G418&lt;=F418,H418&lt;=G418,I418&lt;=H418,J418&lt;=I418),"OK","Check")</f>
        <v>OK</v>
      </c>
      <c r="P418" s="6">
        <f t="shared" si="43"/>
        <v>5.198409027842013</v>
      </c>
      <c r="Q418" s="6">
        <f t="shared" si="44"/>
        <v>22.716488730723604</v>
      </c>
      <c r="R418" s="6">
        <f t="shared" si="45"/>
        <v>56.527415143603136</v>
      </c>
      <c r="S418" s="6">
        <f t="shared" si="46"/>
        <v>53.002309468822176</v>
      </c>
      <c r="T418" s="6">
        <f t="shared" si="47"/>
        <v>5941.4018256937561</v>
      </c>
      <c r="U418" s="6">
        <f t="shared" si="48"/>
        <v>60.41401825693756</v>
      </c>
    </row>
    <row r="419" spans="1:21" x14ac:dyDescent="0.3">
      <c r="A419" s="2">
        <v>45647</v>
      </c>
      <c r="B419" t="s">
        <v>17</v>
      </c>
      <c r="C419" t="s">
        <v>22</v>
      </c>
      <c r="D419" t="s">
        <v>27</v>
      </c>
      <c r="E419" t="s">
        <v>30</v>
      </c>
      <c r="F419">
        <v>191010</v>
      </c>
      <c r="G419">
        <v>6685</v>
      </c>
      <c r="H419">
        <v>1113</v>
      </c>
      <c r="I419">
        <v>682</v>
      </c>
      <c r="J419">
        <v>386</v>
      </c>
      <c r="K419" s="4">
        <v>84242.54</v>
      </c>
      <c r="L419" s="4">
        <v>2143080.9500000002</v>
      </c>
      <c r="M419" t="s">
        <v>35</v>
      </c>
      <c r="N419">
        <f t="shared" si="42"/>
        <v>1</v>
      </c>
      <c r="O419" t="str">
        <f>IF(AND(G419&lt;=F419,H419&lt;=G419,I419&lt;=H419,J419&lt;=I419),"OK","Check")</f>
        <v>OK</v>
      </c>
      <c r="P419" s="6">
        <f t="shared" si="43"/>
        <v>3.4998167635202346</v>
      </c>
      <c r="Q419" s="6">
        <f t="shared" si="44"/>
        <v>16.649214659685864</v>
      </c>
      <c r="R419" s="6">
        <f t="shared" si="45"/>
        <v>61.275831087151843</v>
      </c>
      <c r="S419" s="6">
        <f t="shared" si="46"/>
        <v>56.598240469208214</v>
      </c>
      <c r="T419" s="6">
        <f t="shared" si="47"/>
        <v>2443.9415169580598</v>
      </c>
      <c r="U419" s="6">
        <f t="shared" si="48"/>
        <v>25.439415169580599</v>
      </c>
    </row>
    <row r="420" spans="1:21" x14ac:dyDescent="0.3">
      <c r="A420" s="2">
        <v>45648</v>
      </c>
      <c r="B420" t="s">
        <v>17</v>
      </c>
      <c r="C420" t="s">
        <v>22</v>
      </c>
      <c r="D420" t="s">
        <v>27</v>
      </c>
      <c r="E420" t="s">
        <v>28</v>
      </c>
      <c r="F420">
        <v>68302</v>
      </c>
      <c r="G420">
        <v>2222</v>
      </c>
      <c r="H420">
        <v>383</v>
      </c>
      <c r="I420">
        <v>243</v>
      </c>
      <c r="J420">
        <v>139</v>
      </c>
      <c r="K420" s="4">
        <v>55070.2</v>
      </c>
      <c r="L420" s="4">
        <v>866752.39</v>
      </c>
      <c r="M420" t="s">
        <v>34</v>
      </c>
      <c r="N420">
        <f t="shared" si="42"/>
        <v>1</v>
      </c>
      <c r="O420" t="str">
        <f>IF(AND(G420&lt;=F420,H420&lt;=G420,I420&lt;=H420,J420&lt;=I420),"OK","Check")</f>
        <v>OK</v>
      </c>
      <c r="P420" s="6">
        <f t="shared" si="43"/>
        <v>3.2531990278469154</v>
      </c>
      <c r="Q420" s="6">
        <f t="shared" si="44"/>
        <v>17.236723672367237</v>
      </c>
      <c r="R420" s="6">
        <f t="shared" si="45"/>
        <v>63.446475195822451</v>
      </c>
      <c r="S420" s="6">
        <f t="shared" si="46"/>
        <v>57.201646090534972</v>
      </c>
      <c r="T420" s="6">
        <f t="shared" si="47"/>
        <v>1473.9045618138307</v>
      </c>
      <c r="U420" s="6">
        <f t="shared" si="48"/>
        <v>15.739045618138304</v>
      </c>
    </row>
    <row r="421" spans="1:21" x14ac:dyDescent="0.3">
      <c r="A421" s="2">
        <v>45649</v>
      </c>
      <c r="B421" t="s">
        <v>17</v>
      </c>
      <c r="C421" t="s">
        <v>22</v>
      </c>
      <c r="D421" t="s">
        <v>27</v>
      </c>
      <c r="E421" t="s">
        <v>28</v>
      </c>
      <c r="F421">
        <v>148429</v>
      </c>
      <c r="G421">
        <v>6118</v>
      </c>
      <c r="H421">
        <v>1413</v>
      </c>
      <c r="I421">
        <v>782</v>
      </c>
      <c r="J421">
        <v>344</v>
      </c>
      <c r="K421" s="4">
        <v>93856.35</v>
      </c>
      <c r="L421" s="4">
        <v>1316377.6200000001</v>
      </c>
      <c r="M421" t="s">
        <v>33</v>
      </c>
      <c r="N421">
        <f t="shared" si="42"/>
        <v>1</v>
      </c>
      <c r="O421" t="str">
        <f>IF(AND(G421&lt;=F421,H421&lt;=G421,I421&lt;=H421,J421&lt;=I421),"OK","Check")</f>
        <v>OK</v>
      </c>
      <c r="P421" s="6">
        <f t="shared" si="43"/>
        <v>4.1218360293473655</v>
      </c>
      <c r="Q421" s="6">
        <f t="shared" si="44"/>
        <v>23.095782935599871</v>
      </c>
      <c r="R421" s="6">
        <f t="shared" si="45"/>
        <v>55.34324133050248</v>
      </c>
      <c r="S421" s="6">
        <f t="shared" si="46"/>
        <v>43.989769820971873</v>
      </c>
      <c r="T421" s="6">
        <f t="shared" si="47"/>
        <v>1302.545080860272</v>
      </c>
      <c r="U421" s="6">
        <f t="shared" si="48"/>
        <v>14.025450808602722</v>
      </c>
    </row>
    <row r="422" spans="1:21" x14ac:dyDescent="0.3">
      <c r="A422" s="2">
        <v>45650</v>
      </c>
      <c r="B422" t="s">
        <v>17</v>
      </c>
      <c r="C422" t="s">
        <v>22</v>
      </c>
      <c r="D422" t="s">
        <v>27</v>
      </c>
      <c r="E422" t="s">
        <v>28</v>
      </c>
      <c r="F422">
        <v>130005</v>
      </c>
      <c r="G422">
        <v>7572</v>
      </c>
      <c r="H422">
        <v>1183</v>
      </c>
      <c r="I422">
        <v>758</v>
      </c>
      <c r="J422">
        <v>342</v>
      </c>
      <c r="K422" s="4">
        <v>52249.34</v>
      </c>
      <c r="L422" s="4">
        <v>2407660.84</v>
      </c>
      <c r="M422" t="s">
        <v>32</v>
      </c>
      <c r="N422">
        <f t="shared" si="42"/>
        <v>1</v>
      </c>
      <c r="O422" t="str">
        <f>IF(AND(G422&lt;=F422,H422&lt;=G422,I422&lt;=H422,J422&lt;=I422),"OK","Check")</f>
        <v>OK</v>
      </c>
      <c r="P422" s="6">
        <f t="shared" si="43"/>
        <v>5.8243913695627096</v>
      </c>
      <c r="Q422" s="6">
        <f t="shared" si="44"/>
        <v>15.623349181193872</v>
      </c>
      <c r="R422" s="6">
        <f t="shared" si="45"/>
        <v>64.074387151310233</v>
      </c>
      <c r="S422" s="6">
        <f t="shared" si="46"/>
        <v>45.118733509234829</v>
      </c>
      <c r="T422" s="6">
        <f t="shared" si="47"/>
        <v>4508.0215367313731</v>
      </c>
      <c r="U422" s="6">
        <f t="shared" si="48"/>
        <v>46.080215367313734</v>
      </c>
    </row>
    <row r="423" spans="1:21" x14ac:dyDescent="0.3">
      <c r="A423" s="2">
        <v>45651</v>
      </c>
      <c r="B423" t="s">
        <v>17</v>
      </c>
      <c r="C423" t="s">
        <v>22</v>
      </c>
      <c r="D423" t="s">
        <v>27</v>
      </c>
      <c r="E423" t="s">
        <v>30</v>
      </c>
      <c r="F423">
        <v>188671</v>
      </c>
      <c r="G423">
        <v>14836</v>
      </c>
      <c r="H423">
        <v>3690</v>
      </c>
      <c r="I423">
        <v>2154</v>
      </c>
      <c r="J423">
        <v>921</v>
      </c>
      <c r="K423" s="4">
        <v>187239.3</v>
      </c>
      <c r="L423" s="4">
        <v>5745146.2000000002</v>
      </c>
      <c r="M423" t="s">
        <v>34</v>
      </c>
      <c r="N423">
        <f t="shared" si="42"/>
        <v>1</v>
      </c>
      <c r="O423" t="str">
        <f>IF(AND(G423&lt;=F423,H423&lt;=G423,I423&lt;=H423,J423&lt;=I423),"OK","Check")</f>
        <v>OK</v>
      </c>
      <c r="P423" s="6">
        <f t="shared" si="43"/>
        <v>7.8634236316127009</v>
      </c>
      <c r="Q423" s="6">
        <f t="shared" si="44"/>
        <v>24.871933135616072</v>
      </c>
      <c r="R423" s="6">
        <f t="shared" si="45"/>
        <v>58.373983739837399</v>
      </c>
      <c r="S423" s="6">
        <f t="shared" si="46"/>
        <v>42.757660167130915</v>
      </c>
      <c r="T423" s="6">
        <f t="shared" si="47"/>
        <v>2968.3441991077734</v>
      </c>
      <c r="U423" s="6">
        <f t="shared" si="48"/>
        <v>30.683441991077732</v>
      </c>
    </row>
    <row r="424" spans="1:21" x14ac:dyDescent="0.3">
      <c r="A424" s="2">
        <v>45652</v>
      </c>
      <c r="B424" t="s">
        <v>17</v>
      </c>
      <c r="C424" t="s">
        <v>22</v>
      </c>
      <c r="D424" t="s">
        <v>27</v>
      </c>
      <c r="E424" t="s">
        <v>28</v>
      </c>
      <c r="F424">
        <v>210372</v>
      </c>
      <c r="G424">
        <v>8399</v>
      </c>
      <c r="H424">
        <v>1694</v>
      </c>
      <c r="I424">
        <v>973</v>
      </c>
      <c r="J424">
        <v>468</v>
      </c>
      <c r="K424" s="4">
        <v>119550.69</v>
      </c>
      <c r="L424" s="4">
        <v>3244204.25</v>
      </c>
      <c r="M424" t="s">
        <v>32</v>
      </c>
      <c r="N424">
        <f t="shared" si="42"/>
        <v>1</v>
      </c>
      <c r="O424" t="str">
        <f>IF(AND(G424&lt;=F424,H424&lt;=G424,I424&lt;=H424,J424&lt;=I424),"OK","Check")</f>
        <v>OK</v>
      </c>
      <c r="P424" s="6">
        <f t="shared" si="43"/>
        <v>3.9924514669252567</v>
      </c>
      <c r="Q424" s="6">
        <f t="shared" si="44"/>
        <v>20.169067746160259</v>
      </c>
      <c r="R424" s="6">
        <f t="shared" si="45"/>
        <v>57.438016528925615</v>
      </c>
      <c r="S424" s="6">
        <f t="shared" si="46"/>
        <v>48.098663926002054</v>
      </c>
      <c r="T424" s="6">
        <f t="shared" si="47"/>
        <v>2613.6641787680187</v>
      </c>
      <c r="U424" s="6">
        <f t="shared" si="48"/>
        <v>27.136641787680187</v>
      </c>
    </row>
    <row r="425" spans="1:21" x14ac:dyDescent="0.3">
      <c r="A425" s="2">
        <v>45653</v>
      </c>
      <c r="B425" t="s">
        <v>17</v>
      </c>
      <c r="C425" t="s">
        <v>22</v>
      </c>
      <c r="D425" t="s">
        <v>27</v>
      </c>
      <c r="E425" t="s">
        <v>29</v>
      </c>
      <c r="F425">
        <v>242821</v>
      </c>
      <c r="G425">
        <v>11287</v>
      </c>
      <c r="H425">
        <v>2295</v>
      </c>
      <c r="I425">
        <v>1202</v>
      </c>
      <c r="J425">
        <v>698</v>
      </c>
      <c r="K425" s="4">
        <v>99352.03</v>
      </c>
      <c r="L425" s="4">
        <v>4449421.0999999996</v>
      </c>
      <c r="M425" t="s">
        <v>31</v>
      </c>
      <c r="N425">
        <f t="shared" si="42"/>
        <v>1</v>
      </c>
      <c r="O425" t="str">
        <f>IF(AND(G425&lt;=F425,H425&lt;=G425,I425&lt;=H425,J425&lt;=I425),"OK","Check")</f>
        <v>OK</v>
      </c>
      <c r="P425" s="6">
        <f t="shared" si="43"/>
        <v>4.648280008730711</v>
      </c>
      <c r="Q425" s="6">
        <f t="shared" si="44"/>
        <v>20.333126605829715</v>
      </c>
      <c r="R425" s="6">
        <f t="shared" si="45"/>
        <v>52.37472766884531</v>
      </c>
      <c r="S425" s="6">
        <f t="shared" si="46"/>
        <v>58.069883527454245</v>
      </c>
      <c r="T425" s="6">
        <f t="shared" si="47"/>
        <v>4378.4400479788883</v>
      </c>
      <c r="U425" s="6">
        <f t="shared" si="48"/>
        <v>44.784400479788886</v>
      </c>
    </row>
    <row r="426" spans="1:21" x14ac:dyDescent="0.3">
      <c r="A426" s="2">
        <v>45654</v>
      </c>
      <c r="B426" t="s">
        <v>17</v>
      </c>
      <c r="C426" t="s">
        <v>22</v>
      </c>
      <c r="D426" t="s">
        <v>27</v>
      </c>
      <c r="E426" t="s">
        <v>28</v>
      </c>
      <c r="F426">
        <v>203553</v>
      </c>
      <c r="G426">
        <v>16070</v>
      </c>
      <c r="H426">
        <v>3160</v>
      </c>
      <c r="I426">
        <v>1749</v>
      </c>
      <c r="J426">
        <v>804</v>
      </c>
      <c r="K426" s="4">
        <v>85165.18</v>
      </c>
      <c r="L426" s="4">
        <v>4136749.5</v>
      </c>
      <c r="M426" t="s">
        <v>34</v>
      </c>
      <c r="N426">
        <f t="shared" si="42"/>
        <v>1</v>
      </c>
      <c r="O426" t="str">
        <f>IF(AND(G426&lt;=F426,H426&lt;=G426,I426&lt;=H426,J426&lt;=I426),"OK","Check")</f>
        <v>OK</v>
      </c>
      <c r="P426" s="6">
        <f t="shared" si="43"/>
        <v>7.8947497703300851</v>
      </c>
      <c r="Q426" s="6">
        <f t="shared" si="44"/>
        <v>19.663970130678283</v>
      </c>
      <c r="R426" s="6">
        <f t="shared" si="45"/>
        <v>55.348101265822777</v>
      </c>
      <c r="S426" s="6">
        <f t="shared" si="46"/>
        <v>45.969125214408237</v>
      </c>
      <c r="T426" s="6">
        <f t="shared" si="47"/>
        <v>4757.3249067283132</v>
      </c>
      <c r="U426" s="6">
        <f t="shared" si="48"/>
        <v>48.573249067283136</v>
      </c>
    </row>
    <row r="427" spans="1:21" x14ac:dyDescent="0.3">
      <c r="A427" s="2">
        <v>45655</v>
      </c>
      <c r="B427" t="s">
        <v>17</v>
      </c>
      <c r="C427" t="s">
        <v>22</v>
      </c>
      <c r="D427" t="s">
        <v>27</v>
      </c>
      <c r="E427" t="s">
        <v>29</v>
      </c>
      <c r="F427">
        <v>76603</v>
      </c>
      <c r="G427">
        <v>5356</v>
      </c>
      <c r="H427">
        <v>1267</v>
      </c>
      <c r="I427">
        <v>651</v>
      </c>
      <c r="J427">
        <v>332</v>
      </c>
      <c r="K427" s="4">
        <v>45529.69</v>
      </c>
      <c r="L427" s="4">
        <v>1938587.1</v>
      </c>
      <c r="M427" t="s">
        <v>34</v>
      </c>
      <c r="N427">
        <f t="shared" si="42"/>
        <v>1</v>
      </c>
      <c r="O427" t="str">
        <f>IF(AND(G427&lt;=F427,H427&lt;=G427,I427&lt;=H427,J427&lt;=I427),"OK","Check")</f>
        <v>OK</v>
      </c>
      <c r="P427" s="6">
        <f t="shared" si="43"/>
        <v>6.9918932678876802</v>
      </c>
      <c r="Q427" s="6">
        <f t="shared" si="44"/>
        <v>23.655713218820015</v>
      </c>
      <c r="R427" s="6">
        <f t="shared" si="45"/>
        <v>51.381215469613259</v>
      </c>
      <c r="S427" s="6">
        <f t="shared" si="46"/>
        <v>50.998463901689703</v>
      </c>
      <c r="T427" s="6">
        <f t="shared" si="47"/>
        <v>4157.8526232003778</v>
      </c>
      <c r="U427" s="6">
        <f t="shared" si="48"/>
        <v>42.578526232003775</v>
      </c>
    </row>
    <row r="428" spans="1:21" x14ac:dyDescent="0.3">
      <c r="A428" s="2">
        <v>45656</v>
      </c>
      <c r="B428" t="s">
        <v>17</v>
      </c>
      <c r="C428" t="s">
        <v>22</v>
      </c>
      <c r="D428" t="s">
        <v>27</v>
      </c>
      <c r="E428" t="s">
        <v>28</v>
      </c>
      <c r="F428">
        <v>170097</v>
      </c>
      <c r="G428">
        <v>6950</v>
      </c>
      <c r="H428">
        <v>1199</v>
      </c>
      <c r="I428">
        <v>740</v>
      </c>
      <c r="J428">
        <v>397</v>
      </c>
      <c r="K428" s="4">
        <v>123129.23</v>
      </c>
      <c r="L428" s="4">
        <v>2422516.6800000002</v>
      </c>
      <c r="M428" t="s">
        <v>32</v>
      </c>
      <c r="N428">
        <f t="shared" si="42"/>
        <v>1</v>
      </c>
      <c r="O428" t="str">
        <f>IF(AND(G428&lt;=F428,H428&lt;=G428,I428&lt;=H428,J428&lt;=I428),"OK","Check")</f>
        <v>OK</v>
      </c>
      <c r="P428" s="6">
        <f t="shared" si="43"/>
        <v>4.0859039254072682</v>
      </c>
      <c r="Q428" s="6">
        <f t="shared" si="44"/>
        <v>17.25179856115108</v>
      </c>
      <c r="R428" s="6">
        <f t="shared" si="45"/>
        <v>61.71809841534612</v>
      </c>
      <c r="S428" s="6">
        <f t="shared" si="46"/>
        <v>53.648648648648646</v>
      </c>
      <c r="T428" s="6">
        <f t="shared" si="47"/>
        <v>1867.4586448725461</v>
      </c>
      <c r="U428" s="6">
        <f t="shared" si="48"/>
        <v>19.67458644872546</v>
      </c>
    </row>
    <row r="429" spans="1:21" x14ac:dyDescent="0.3">
      <c r="A429" s="2">
        <v>45657</v>
      </c>
      <c r="B429" t="s">
        <v>17</v>
      </c>
      <c r="C429" t="s">
        <v>22</v>
      </c>
      <c r="D429" t="s">
        <v>27</v>
      </c>
      <c r="E429" t="s">
        <v>28</v>
      </c>
      <c r="F429">
        <v>131701</v>
      </c>
      <c r="G429">
        <v>9179</v>
      </c>
      <c r="H429">
        <v>1437</v>
      </c>
      <c r="I429">
        <v>927</v>
      </c>
      <c r="J429">
        <v>505</v>
      </c>
      <c r="K429" s="4">
        <v>59393.39</v>
      </c>
      <c r="L429" s="4">
        <v>3247013.45</v>
      </c>
      <c r="M429" t="s">
        <v>31</v>
      </c>
      <c r="N429">
        <f t="shared" si="42"/>
        <v>1</v>
      </c>
      <c r="O429" t="str">
        <f>IF(AND(G429&lt;=F429,H429&lt;=G429,I429&lt;=H429,J429&lt;=I429),"OK","Check")</f>
        <v>OK</v>
      </c>
      <c r="P429" s="6">
        <f t="shared" si="43"/>
        <v>6.9695750222093986</v>
      </c>
      <c r="Q429" s="6">
        <f t="shared" si="44"/>
        <v>15.655300141627629</v>
      </c>
      <c r="R429" s="6">
        <f t="shared" si="45"/>
        <v>64.509394572025045</v>
      </c>
      <c r="S429" s="6">
        <f t="shared" si="46"/>
        <v>54.476806903991374</v>
      </c>
      <c r="T429" s="6">
        <f t="shared" si="47"/>
        <v>5366.9609698991753</v>
      </c>
      <c r="U429" s="6">
        <f t="shared" si="48"/>
        <v>54.669609698991763</v>
      </c>
    </row>
    <row r="430" spans="1:21" x14ac:dyDescent="0.3">
      <c r="A430" s="2">
        <v>45658</v>
      </c>
      <c r="B430" t="s">
        <v>15</v>
      </c>
      <c r="C430" t="s">
        <v>20</v>
      </c>
      <c r="D430" t="s">
        <v>25</v>
      </c>
      <c r="E430" t="s">
        <v>28</v>
      </c>
      <c r="F430">
        <v>279530</v>
      </c>
      <c r="G430">
        <v>19894</v>
      </c>
      <c r="H430">
        <v>3599</v>
      </c>
      <c r="I430">
        <v>2203</v>
      </c>
      <c r="J430">
        <v>1218</v>
      </c>
      <c r="K430" s="4">
        <v>273389.71999999997</v>
      </c>
      <c r="L430" s="4">
        <v>8583247.3000000007</v>
      </c>
      <c r="M430" t="s">
        <v>32</v>
      </c>
      <c r="N430">
        <f t="shared" si="42"/>
        <v>1</v>
      </c>
      <c r="O430" t="str">
        <f>IF(AND(G430&lt;=F430,H430&lt;=G430,I430&lt;=H430,J430&lt;=I430),"OK","Check")</f>
        <v>OK</v>
      </c>
      <c r="P430" s="6">
        <f t="shared" si="43"/>
        <v>7.1169463027224271</v>
      </c>
      <c r="Q430" s="6">
        <f t="shared" si="44"/>
        <v>18.090881672866193</v>
      </c>
      <c r="R430" s="6">
        <f t="shared" si="45"/>
        <v>61.211447624340096</v>
      </c>
      <c r="S430" s="6">
        <f t="shared" si="46"/>
        <v>55.288243304584661</v>
      </c>
      <c r="T430" s="6">
        <f t="shared" si="47"/>
        <v>3039.5647575922026</v>
      </c>
      <c r="U430" s="6">
        <f t="shared" si="48"/>
        <v>31.395647575922027</v>
      </c>
    </row>
    <row r="431" spans="1:21" x14ac:dyDescent="0.3">
      <c r="A431" s="2">
        <v>45659</v>
      </c>
      <c r="B431" t="s">
        <v>15</v>
      </c>
      <c r="C431" t="s">
        <v>20</v>
      </c>
      <c r="D431" t="s">
        <v>25</v>
      </c>
      <c r="E431" t="s">
        <v>29</v>
      </c>
      <c r="F431">
        <v>107357</v>
      </c>
      <c r="G431">
        <v>3850</v>
      </c>
      <c r="H431">
        <v>660</v>
      </c>
      <c r="I431">
        <v>404</v>
      </c>
      <c r="J431">
        <v>170</v>
      </c>
      <c r="K431" s="4">
        <v>64297.75</v>
      </c>
      <c r="L431" s="4">
        <v>639111.06000000006</v>
      </c>
      <c r="M431" t="s">
        <v>34</v>
      </c>
      <c r="N431">
        <f t="shared" si="42"/>
        <v>1</v>
      </c>
      <c r="O431" t="str">
        <f>IF(AND(G431&lt;=F431,H431&lt;=G431,I431&lt;=H431,J431&lt;=I431),"OK","Check")</f>
        <v>OK</v>
      </c>
      <c r="P431" s="6">
        <f t="shared" si="43"/>
        <v>3.5861657833210687</v>
      </c>
      <c r="Q431" s="6">
        <f t="shared" si="44"/>
        <v>17.142857142857142</v>
      </c>
      <c r="R431" s="6">
        <f t="shared" si="45"/>
        <v>61.212121212121204</v>
      </c>
      <c r="S431" s="6">
        <f t="shared" si="46"/>
        <v>42.079207920792079</v>
      </c>
      <c r="T431" s="6">
        <f t="shared" si="47"/>
        <v>893.98666360798006</v>
      </c>
      <c r="U431" s="6">
        <f t="shared" si="48"/>
        <v>9.9398666360798007</v>
      </c>
    </row>
    <row r="432" spans="1:21" x14ac:dyDescent="0.3">
      <c r="A432" s="2">
        <v>45660</v>
      </c>
      <c r="B432" t="s">
        <v>15</v>
      </c>
      <c r="C432" t="s">
        <v>20</v>
      </c>
      <c r="D432" t="s">
        <v>25</v>
      </c>
      <c r="E432" t="s">
        <v>30</v>
      </c>
      <c r="F432">
        <v>234568</v>
      </c>
      <c r="G432">
        <v>11507</v>
      </c>
      <c r="H432">
        <v>2233</v>
      </c>
      <c r="I432">
        <v>1415</v>
      </c>
      <c r="J432">
        <v>677</v>
      </c>
      <c r="K432" s="4">
        <v>228209.58</v>
      </c>
      <c r="L432" s="4">
        <v>3116134.9</v>
      </c>
      <c r="M432" t="s">
        <v>34</v>
      </c>
      <c r="N432">
        <f t="shared" si="42"/>
        <v>1</v>
      </c>
      <c r="O432" t="str">
        <f>IF(AND(G432&lt;=F432,H432&lt;=G432,I432&lt;=H432,J432&lt;=I432),"OK","Check")</f>
        <v>OK</v>
      </c>
      <c r="P432" s="6">
        <f t="shared" si="43"/>
        <v>4.9056137239521158</v>
      </c>
      <c r="Q432" s="6">
        <f t="shared" si="44"/>
        <v>19.405579212653169</v>
      </c>
      <c r="R432" s="6">
        <f t="shared" si="45"/>
        <v>63.367666815942684</v>
      </c>
      <c r="S432" s="6">
        <f t="shared" si="46"/>
        <v>47.844522968197879</v>
      </c>
      <c r="T432" s="6">
        <f t="shared" si="47"/>
        <v>1265.4706783124529</v>
      </c>
      <c r="U432" s="6">
        <f t="shared" si="48"/>
        <v>13.65470678312453</v>
      </c>
    </row>
    <row r="433" spans="1:21" x14ac:dyDescent="0.3">
      <c r="A433" s="2">
        <v>45661</v>
      </c>
      <c r="B433" t="s">
        <v>15</v>
      </c>
      <c r="C433" t="s">
        <v>20</v>
      </c>
      <c r="D433" t="s">
        <v>25</v>
      </c>
      <c r="E433" t="s">
        <v>30</v>
      </c>
      <c r="F433">
        <v>118873</v>
      </c>
      <c r="G433">
        <v>6602</v>
      </c>
      <c r="H433">
        <v>1257</v>
      </c>
      <c r="I433">
        <v>706</v>
      </c>
      <c r="J433">
        <v>337</v>
      </c>
      <c r="K433" s="4">
        <v>88250.44</v>
      </c>
      <c r="L433" s="4">
        <v>1510928.16</v>
      </c>
      <c r="M433" t="s">
        <v>34</v>
      </c>
      <c r="N433">
        <f t="shared" si="42"/>
        <v>1</v>
      </c>
      <c r="O433" t="str">
        <f>IF(AND(G433&lt;=F433,H433&lt;=G433,I433&lt;=H433,J433&lt;=I433),"OK","Check")</f>
        <v>OK</v>
      </c>
      <c r="P433" s="6">
        <f t="shared" si="43"/>
        <v>5.5538263524938385</v>
      </c>
      <c r="Q433" s="6">
        <f t="shared" si="44"/>
        <v>19.039684943956377</v>
      </c>
      <c r="R433" s="6">
        <f t="shared" si="45"/>
        <v>56.16547334924423</v>
      </c>
      <c r="S433" s="6">
        <f t="shared" si="46"/>
        <v>47.733711048158639</v>
      </c>
      <c r="T433" s="6">
        <f t="shared" si="47"/>
        <v>1612.0913618107738</v>
      </c>
      <c r="U433" s="6">
        <f t="shared" si="48"/>
        <v>17.120913618107739</v>
      </c>
    </row>
    <row r="434" spans="1:21" x14ac:dyDescent="0.3">
      <c r="A434" s="2">
        <v>45662</v>
      </c>
      <c r="B434" t="s">
        <v>15</v>
      </c>
      <c r="C434" t="s">
        <v>20</v>
      </c>
      <c r="D434" t="s">
        <v>25</v>
      </c>
      <c r="E434" t="s">
        <v>28</v>
      </c>
      <c r="F434">
        <v>65935</v>
      </c>
      <c r="G434">
        <v>3337</v>
      </c>
      <c r="H434">
        <v>635</v>
      </c>
      <c r="I434">
        <v>299</v>
      </c>
      <c r="J434">
        <v>144</v>
      </c>
      <c r="K434" s="4">
        <v>33688.76</v>
      </c>
      <c r="L434" s="4">
        <v>618176.80000000005</v>
      </c>
      <c r="M434" t="s">
        <v>31</v>
      </c>
      <c r="N434">
        <f t="shared" si="42"/>
        <v>1</v>
      </c>
      <c r="O434" t="str">
        <f>IF(AND(G434&lt;=F434,H434&lt;=G434,I434&lt;=H434,J434&lt;=I434),"OK","Check")</f>
        <v>OK</v>
      </c>
      <c r="P434" s="6">
        <f t="shared" si="43"/>
        <v>5.0610449685296128</v>
      </c>
      <c r="Q434" s="6">
        <f t="shared" si="44"/>
        <v>19.029068025172311</v>
      </c>
      <c r="R434" s="6">
        <f t="shared" si="45"/>
        <v>47.086614173228348</v>
      </c>
      <c r="S434" s="6">
        <f t="shared" si="46"/>
        <v>48.16053511705686</v>
      </c>
      <c r="T434" s="6">
        <f t="shared" si="47"/>
        <v>1734.9645401018026</v>
      </c>
      <c r="U434" s="6">
        <f t="shared" si="48"/>
        <v>18.349645401018027</v>
      </c>
    </row>
    <row r="435" spans="1:21" x14ac:dyDescent="0.3">
      <c r="A435" s="2">
        <v>45663</v>
      </c>
      <c r="B435" t="s">
        <v>15</v>
      </c>
      <c r="C435" t="s">
        <v>20</v>
      </c>
      <c r="D435" t="s">
        <v>25</v>
      </c>
      <c r="E435" t="s">
        <v>30</v>
      </c>
      <c r="F435">
        <v>98052</v>
      </c>
      <c r="G435">
        <v>5653</v>
      </c>
      <c r="H435">
        <v>1278</v>
      </c>
      <c r="I435">
        <v>620</v>
      </c>
      <c r="J435">
        <v>365</v>
      </c>
      <c r="K435" s="4">
        <v>66527.789999999994</v>
      </c>
      <c r="L435" s="4">
        <v>2071736.22</v>
      </c>
      <c r="M435" t="s">
        <v>35</v>
      </c>
      <c r="N435">
        <f t="shared" si="42"/>
        <v>1</v>
      </c>
      <c r="O435" t="str">
        <f>IF(AND(G435&lt;=F435,H435&lt;=G435,I435&lt;=H435,J435&lt;=I435),"OK","Check")</f>
        <v>OK</v>
      </c>
      <c r="P435" s="6">
        <f t="shared" si="43"/>
        <v>5.765308203810223</v>
      </c>
      <c r="Q435" s="6">
        <f t="shared" si="44"/>
        <v>22.607465062798514</v>
      </c>
      <c r="R435" s="6">
        <f t="shared" si="45"/>
        <v>48.513302034428797</v>
      </c>
      <c r="S435" s="6">
        <f t="shared" si="46"/>
        <v>58.870967741935488</v>
      </c>
      <c r="T435" s="6">
        <f t="shared" si="47"/>
        <v>3014.091449603241</v>
      </c>
      <c r="U435" s="6">
        <f t="shared" si="48"/>
        <v>31.140914496032412</v>
      </c>
    </row>
    <row r="436" spans="1:21" x14ac:dyDescent="0.3">
      <c r="A436" s="2">
        <v>45664</v>
      </c>
      <c r="B436" t="s">
        <v>15</v>
      </c>
      <c r="C436" t="s">
        <v>20</v>
      </c>
      <c r="D436" t="s">
        <v>25</v>
      </c>
      <c r="E436" t="s">
        <v>28</v>
      </c>
      <c r="F436">
        <v>131378</v>
      </c>
      <c r="G436">
        <v>7546</v>
      </c>
      <c r="H436">
        <v>1518</v>
      </c>
      <c r="I436">
        <v>715</v>
      </c>
      <c r="J436">
        <v>293</v>
      </c>
      <c r="K436" s="4">
        <v>83251.47</v>
      </c>
      <c r="L436" s="4">
        <v>1142012.75</v>
      </c>
      <c r="M436" t="s">
        <v>31</v>
      </c>
      <c r="N436">
        <f t="shared" si="42"/>
        <v>1</v>
      </c>
      <c r="O436" t="str">
        <f>IF(AND(G436&lt;=F436,H436&lt;=G436,I436&lt;=H436,J436&lt;=I436),"OK","Check")</f>
        <v>OK</v>
      </c>
      <c r="P436" s="6">
        <f t="shared" si="43"/>
        <v>5.7437318272465712</v>
      </c>
      <c r="Q436" s="6">
        <f t="shared" si="44"/>
        <v>20.11661807580175</v>
      </c>
      <c r="R436" s="6">
        <f t="shared" si="45"/>
        <v>47.10144927536232</v>
      </c>
      <c r="S436" s="6">
        <f t="shared" si="46"/>
        <v>40.97902097902098</v>
      </c>
      <c r="T436" s="6">
        <f t="shared" si="47"/>
        <v>1271.76286496803</v>
      </c>
      <c r="U436" s="6">
        <f t="shared" si="48"/>
        <v>13.7176286496803</v>
      </c>
    </row>
    <row r="437" spans="1:21" x14ac:dyDescent="0.3">
      <c r="A437" s="2">
        <v>45665</v>
      </c>
      <c r="B437" t="s">
        <v>15</v>
      </c>
      <c r="C437" t="s">
        <v>20</v>
      </c>
      <c r="D437" t="s">
        <v>25</v>
      </c>
      <c r="E437" t="s">
        <v>28</v>
      </c>
      <c r="F437">
        <v>262420</v>
      </c>
      <c r="G437">
        <v>14446</v>
      </c>
      <c r="H437">
        <v>3479</v>
      </c>
      <c r="I437">
        <v>2040</v>
      </c>
      <c r="J437">
        <v>966</v>
      </c>
      <c r="K437" s="4">
        <v>119191.61</v>
      </c>
      <c r="L437" s="4">
        <v>6335108.8300000001</v>
      </c>
      <c r="M437" t="s">
        <v>34</v>
      </c>
      <c r="N437">
        <f t="shared" si="42"/>
        <v>1</v>
      </c>
      <c r="O437" t="str">
        <f>IF(AND(G437&lt;=F437,H437&lt;=G437,I437&lt;=H437,J437&lt;=I437),"OK","Check")</f>
        <v>OK</v>
      </c>
      <c r="P437" s="6">
        <f t="shared" si="43"/>
        <v>5.5049157838579372</v>
      </c>
      <c r="Q437" s="6">
        <f t="shared" si="44"/>
        <v>24.082791084037105</v>
      </c>
      <c r="R437" s="6">
        <f t="shared" si="45"/>
        <v>58.637539522851391</v>
      </c>
      <c r="S437" s="6">
        <f t="shared" si="46"/>
        <v>47.352941176470587</v>
      </c>
      <c r="T437" s="6">
        <f t="shared" si="47"/>
        <v>5215.0627212771096</v>
      </c>
      <c r="U437" s="6">
        <f t="shared" si="48"/>
        <v>53.150627212771099</v>
      </c>
    </row>
    <row r="438" spans="1:21" x14ac:dyDescent="0.3">
      <c r="A438" s="2">
        <v>45666</v>
      </c>
      <c r="B438" t="s">
        <v>15</v>
      </c>
      <c r="C438" t="s">
        <v>20</v>
      </c>
      <c r="D438" t="s">
        <v>25</v>
      </c>
      <c r="E438" t="s">
        <v>30</v>
      </c>
      <c r="F438">
        <v>153266</v>
      </c>
      <c r="G438">
        <v>6717</v>
      </c>
      <c r="H438">
        <v>1640</v>
      </c>
      <c r="I438">
        <v>966</v>
      </c>
      <c r="J438">
        <v>430</v>
      </c>
      <c r="K438" s="4">
        <v>153149.87</v>
      </c>
      <c r="L438" s="4">
        <v>2013145.18</v>
      </c>
      <c r="M438" t="s">
        <v>31</v>
      </c>
      <c r="N438">
        <f t="shared" si="42"/>
        <v>1</v>
      </c>
      <c r="O438" t="str">
        <f>IF(AND(G438&lt;=F438,H438&lt;=G438,I438&lt;=H438,J438&lt;=I438),"OK","Check")</f>
        <v>OK</v>
      </c>
      <c r="P438" s="6">
        <f t="shared" si="43"/>
        <v>4.3825766967233433</v>
      </c>
      <c r="Q438" s="6">
        <f t="shared" si="44"/>
        <v>24.415661753759117</v>
      </c>
      <c r="R438" s="6">
        <f t="shared" si="45"/>
        <v>58.90243902439024</v>
      </c>
      <c r="S438" s="6">
        <f t="shared" si="46"/>
        <v>44.513457556935819</v>
      </c>
      <c r="T438" s="6">
        <f t="shared" si="47"/>
        <v>1214.4935611110868</v>
      </c>
      <c r="U438" s="6">
        <f t="shared" si="48"/>
        <v>13.144935611110869</v>
      </c>
    </row>
    <row r="439" spans="1:21" x14ac:dyDescent="0.3">
      <c r="A439" s="2">
        <v>45667</v>
      </c>
      <c r="B439" t="s">
        <v>15</v>
      </c>
      <c r="C439" t="s">
        <v>20</v>
      </c>
      <c r="D439" t="s">
        <v>25</v>
      </c>
      <c r="E439" t="s">
        <v>28</v>
      </c>
      <c r="F439">
        <v>70209</v>
      </c>
      <c r="G439">
        <v>2239</v>
      </c>
      <c r="H439">
        <v>511</v>
      </c>
      <c r="I439">
        <v>331</v>
      </c>
      <c r="J439">
        <v>185</v>
      </c>
      <c r="K439" s="4">
        <v>54632.02</v>
      </c>
      <c r="L439" s="4">
        <v>1173022.8899999999</v>
      </c>
      <c r="M439" t="s">
        <v>32</v>
      </c>
      <c r="N439">
        <f t="shared" si="42"/>
        <v>1</v>
      </c>
      <c r="O439" t="str">
        <f>IF(AND(G439&lt;=F439,H439&lt;=G439,I439&lt;=H439,J439&lt;=I439),"OK","Check")</f>
        <v>OK</v>
      </c>
      <c r="P439" s="6">
        <f t="shared" si="43"/>
        <v>3.1890498369154954</v>
      </c>
      <c r="Q439" s="6">
        <f t="shared" si="44"/>
        <v>22.822688700312639</v>
      </c>
      <c r="R439" s="6">
        <f t="shared" si="45"/>
        <v>64.774951076320946</v>
      </c>
      <c r="S439" s="6">
        <f t="shared" si="46"/>
        <v>55.891238670694868</v>
      </c>
      <c r="T439" s="6">
        <f t="shared" si="47"/>
        <v>2047.1343911500985</v>
      </c>
      <c r="U439" s="6">
        <f t="shared" si="48"/>
        <v>21.471343911500984</v>
      </c>
    </row>
    <row r="440" spans="1:21" x14ac:dyDescent="0.3">
      <c r="A440" s="2">
        <v>45668</v>
      </c>
      <c r="B440" t="s">
        <v>15</v>
      </c>
      <c r="C440" t="s">
        <v>20</v>
      </c>
      <c r="D440" t="s">
        <v>25</v>
      </c>
      <c r="E440" t="s">
        <v>28</v>
      </c>
      <c r="F440">
        <v>125823</v>
      </c>
      <c r="G440">
        <v>6100</v>
      </c>
      <c r="H440">
        <v>1244</v>
      </c>
      <c r="I440">
        <v>598</v>
      </c>
      <c r="J440">
        <v>263</v>
      </c>
      <c r="K440" s="4">
        <v>78509.289999999994</v>
      </c>
      <c r="L440" s="4">
        <v>1955712.94</v>
      </c>
      <c r="M440" t="s">
        <v>32</v>
      </c>
      <c r="N440">
        <f t="shared" si="42"/>
        <v>1</v>
      </c>
      <c r="O440" t="str">
        <f>IF(AND(G440&lt;=F440,H440&lt;=G440,I440&lt;=H440,J440&lt;=I440),"OK","Check")</f>
        <v>OK</v>
      </c>
      <c r="P440" s="6">
        <f t="shared" si="43"/>
        <v>4.8480802397018037</v>
      </c>
      <c r="Q440" s="6">
        <f t="shared" si="44"/>
        <v>20.393442622950818</v>
      </c>
      <c r="R440" s="6">
        <f t="shared" si="45"/>
        <v>48.070739549839232</v>
      </c>
      <c r="S440" s="6">
        <f t="shared" si="46"/>
        <v>43.979933110367888</v>
      </c>
      <c r="T440" s="6">
        <f t="shared" si="47"/>
        <v>2391.0592619039098</v>
      </c>
      <c r="U440" s="6">
        <f t="shared" si="48"/>
        <v>24.910592619039097</v>
      </c>
    </row>
    <row r="441" spans="1:21" x14ac:dyDescent="0.3">
      <c r="A441" s="2">
        <v>45669</v>
      </c>
      <c r="B441" t="s">
        <v>15</v>
      </c>
      <c r="C441" t="s">
        <v>20</v>
      </c>
      <c r="D441" t="s">
        <v>25</v>
      </c>
      <c r="E441" t="s">
        <v>30</v>
      </c>
      <c r="F441">
        <v>203716</v>
      </c>
      <c r="G441">
        <v>6420</v>
      </c>
      <c r="H441">
        <v>1047</v>
      </c>
      <c r="I441">
        <v>499</v>
      </c>
      <c r="J441">
        <v>199</v>
      </c>
      <c r="K441" s="4">
        <v>165278.22</v>
      </c>
      <c r="L441" s="4">
        <v>840797.82</v>
      </c>
      <c r="M441" t="s">
        <v>34</v>
      </c>
      <c r="N441">
        <f t="shared" si="42"/>
        <v>1</v>
      </c>
      <c r="O441" t="str">
        <f>IF(AND(G441&lt;=F441,H441&lt;=G441,I441&lt;=H441,J441&lt;=I441),"OK","Check")</f>
        <v>OK</v>
      </c>
      <c r="P441" s="6">
        <f t="shared" si="43"/>
        <v>3.151446130888099</v>
      </c>
      <c r="Q441" s="6">
        <f t="shared" si="44"/>
        <v>16.308411214953271</v>
      </c>
      <c r="R441" s="6">
        <f t="shared" si="45"/>
        <v>47.659980897803244</v>
      </c>
      <c r="S441" s="6">
        <f t="shared" si="46"/>
        <v>39.879759519038075</v>
      </c>
      <c r="T441" s="6">
        <f t="shared" si="47"/>
        <v>408.7166476018437</v>
      </c>
      <c r="U441" s="6">
        <f t="shared" si="48"/>
        <v>5.087166476018437</v>
      </c>
    </row>
    <row r="442" spans="1:21" x14ac:dyDescent="0.3">
      <c r="A442" s="2">
        <v>45670</v>
      </c>
      <c r="B442" t="s">
        <v>15</v>
      </c>
      <c r="C442" t="s">
        <v>20</v>
      </c>
      <c r="D442" t="s">
        <v>25</v>
      </c>
      <c r="E442" t="s">
        <v>28</v>
      </c>
      <c r="F442">
        <v>146482</v>
      </c>
      <c r="G442">
        <v>4711</v>
      </c>
      <c r="H442">
        <v>931</v>
      </c>
      <c r="I442">
        <v>572</v>
      </c>
      <c r="J442">
        <v>338</v>
      </c>
      <c r="K442" s="4">
        <v>141930.1</v>
      </c>
      <c r="L442" s="4">
        <v>2174371.9300000002</v>
      </c>
      <c r="M442" t="s">
        <v>33</v>
      </c>
      <c r="N442">
        <f t="shared" si="42"/>
        <v>1</v>
      </c>
      <c r="O442" t="str">
        <f>IF(AND(G442&lt;=F442,H442&lt;=G442,I442&lt;=H442,J442&lt;=I442),"OK","Check")</f>
        <v>OK</v>
      </c>
      <c r="P442" s="6">
        <f t="shared" si="43"/>
        <v>3.2160948102838574</v>
      </c>
      <c r="Q442" s="6">
        <f t="shared" si="44"/>
        <v>19.762258543833582</v>
      </c>
      <c r="R442" s="6">
        <f t="shared" si="45"/>
        <v>61.43931256713212</v>
      </c>
      <c r="S442" s="6">
        <f t="shared" si="46"/>
        <v>59.090909090909093</v>
      </c>
      <c r="T442" s="6">
        <f t="shared" si="47"/>
        <v>1432.0019713929603</v>
      </c>
      <c r="U442" s="6">
        <f t="shared" si="48"/>
        <v>15.320019713929604</v>
      </c>
    </row>
    <row r="443" spans="1:21" x14ac:dyDescent="0.3">
      <c r="A443" s="2">
        <v>45671</v>
      </c>
      <c r="B443" t="s">
        <v>15</v>
      </c>
      <c r="C443" t="s">
        <v>20</v>
      </c>
      <c r="D443" t="s">
        <v>25</v>
      </c>
      <c r="E443" t="s">
        <v>28</v>
      </c>
      <c r="F443">
        <v>266480</v>
      </c>
      <c r="G443">
        <v>8507</v>
      </c>
      <c r="H443">
        <v>1449</v>
      </c>
      <c r="I443">
        <v>740</v>
      </c>
      <c r="J443">
        <v>346</v>
      </c>
      <c r="K443" s="4">
        <v>179057.44</v>
      </c>
      <c r="L443" s="4">
        <v>2625757.6800000002</v>
      </c>
      <c r="M443" t="s">
        <v>31</v>
      </c>
      <c r="N443">
        <f t="shared" si="42"/>
        <v>1</v>
      </c>
      <c r="O443" t="str">
        <f>IF(AND(G443&lt;=F443,H443&lt;=G443,I443&lt;=H443,J443&lt;=I443),"OK","Check")</f>
        <v>OK</v>
      </c>
      <c r="P443" s="6">
        <f t="shared" si="43"/>
        <v>3.1923596517562292</v>
      </c>
      <c r="Q443" s="6">
        <f t="shared" si="44"/>
        <v>17.033031621017987</v>
      </c>
      <c r="R443" s="6">
        <f t="shared" si="45"/>
        <v>51.069703243616281</v>
      </c>
      <c r="S443" s="6">
        <f t="shared" si="46"/>
        <v>46.756756756756758</v>
      </c>
      <c r="T443" s="6">
        <f t="shared" si="47"/>
        <v>1366.4331624533447</v>
      </c>
      <c r="U443" s="6">
        <f t="shared" si="48"/>
        <v>14.664331624533446</v>
      </c>
    </row>
    <row r="444" spans="1:21" x14ac:dyDescent="0.3">
      <c r="A444" s="2">
        <v>45672</v>
      </c>
      <c r="B444" t="s">
        <v>15</v>
      </c>
      <c r="C444" t="s">
        <v>20</v>
      </c>
      <c r="D444" t="s">
        <v>25</v>
      </c>
      <c r="E444" t="s">
        <v>28</v>
      </c>
      <c r="F444">
        <v>119877</v>
      </c>
      <c r="G444">
        <v>5157</v>
      </c>
      <c r="H444">
        <v>853</v>
      </c>
      <c r="I444">
        <v>489</v>
      </c>
      <c r="J444">
        <v>196</v>
      </c>
      <c r="K444" s="4">
        <v>55662.12</v>
      </c>
      <c r="L444" s="4">
        <v>601879.73</v>
      </c>
      <c r="M444" t="s">
        <v>35</v>
      </c>
      <c r="N444">
        <f t="shared" si="42"/>
        <v>1</v>
      </c>
      <c r="O444" t="str">
        <f>IF(AND(G444&lt;=F444,H444&lt;=G444,I444&lt;=H444,J444&lt;=I444),"OK","Check")</f>
        <v>OK</v>
      </c>
      <c r="P444" s="6">
        <f t="shared" si="43"/>
        <v>4.3019094571936236</v>
      </c>
      <c r="Q444" s="6">
        <f t="shared" si="44"/>
        <v>16.540624394027535</v>
      </c>
      <c r="R444" s="6">
        <f t="shared" si="45"/>
        <v>57.327080890973036</v>
      </c>
      <c r="S444" s="6">
        <f t="shared" si="46"/>
        <v>40.081799591002046</v>
      </c>
      <c r="T444" s="6">
        <f t="shared" si="47"/>
        <v>981.3093895812807</v>
      </c>
      <c r="U444" s="6">
        <f t="shared" si="48"/>
        <v>10.813093895812807</v>
      </c>
    </row>
    <row r="445" spans="1:21" x14ac:dyDescent="0.3">
      <c r="A445" s="2">
        <v>45673</v>
      </c>
      <c r="B445" t="s">
        <v>15</v>
      </c>
      <c r="C445" t="s">
        <v>20</v>
      </c>
      <c r="D445" t="s">
        <v>25</v>
      </c>
      <c r="E445" t="s">
        <v>30</v>
      </c>
      <c r="F445">
        <v>258617</v>
      </c>
      <c r="G445">
        <v>11130</v>
      </c>
      <c r="H445">
        <v>2706</v>
      </c>
      <c r="I445">
        <v>1265</v>
      </c>
      <c r="J445">
        <v>634</v>
      </c>
      <c r="K445" s="4">
        <v>220388.72</v>
      </c>
      <c r="L445" s="4">
        <v>3969227.91</v>
      </c>
      <c r="M445" t="s">
        <v>35</v>
      </c>
      <c r="N445">
        <f t="shared" si="42"/>
        <v>1</v>
      </c>
      <c r="O445" t="str">
        <f>IF(AND(G445&lt;=F445,H445&lt;=G445,I445&lt;=H445,J445&lt;=I445),"OK","Check")</f>
        <v>OK</v>
      </c>
      <c r="P445" s="6">
        <f t="shared" si="43"/>
        <v>4.3036613989026247</v>
      </c>
      <c r="Q445" s="6">
        <f t="shared" si="44"/>
        <v>24.31266846361186</v>
      </c>
      <c r="R445" s="6">
        <f t="shared" si="45"/>
        <v>46.747967479674799</v>
      </c>
      <c r="S445" s="6">
        <f t="shared" si="46"/>
        <v>50.118577075098813</v>
      </c>
      <c r="T445" s="6">
        <f t="shared" si="47"/>
        <v>1701.0122795758332</v>
      </c>
      <c r="U445" s="6">
        <f t="shared" si="48"/>
        <v>18.010122795758331</v>
      </c>
    </row>
    <row r="446" spans="1:21" x14ac:dyDescent="0.3">
      <c r="A446" s="2">
        <v>45674</v>
      </c>
      <c r="B446" t="s">
        <v>15</v>
      </c>
      <c r="C446" t="s">
        <v>20</v>
      </c>
      <c r="D446" t="s">
        <v>25</v>
      </c>
      <c r="E446" t="s">
        <v>30</v>
      </c>
      <c r="F446">
        <v>286009</v>
      </c>
      <c r="G446">
        <v>20719</v>
      </c>
      <c r="H446">
        <v>3174</v>
      </c>
      <c r="I446">
        <v>1988</v>
      </c>
      <c r="J446">
        <v>1183</v>
      </c>
      <c r="K446" s="4">
        <v>159981.23000000001</v>
      </c>
      <c r="L446" s="4">
        <v>5016566.76</v>
      </c>
      <c r="M446" t="s">
        <v>33</v>
      </c>
      <c r="N446">
        <f t="shared" si="42"/>
        <v>1</v>
      </c>
      <c r="O446" t="str">
        <f>IF(AND(G446&lt;=F446,H446&lt;=G446,I446&lt;=H446,J446&lt;=I446),"OK","Check")</f>
        <v>OK</v>
      </c>
      <c r="P446" s="6">
        <f t="shared" si="43"/>
        <v>7.2441776307738568</v>
      </c>
      <c r="Q446" s="6">
        <f t="shared" si="44"/>
        <v>15.31927216564506</v>
      </c>
      <c r="R446" s="6">
        <f t="shared" si="45"/>
        <v>62.633900441083803</v>
      </c>
      <c r="S446" s="6">
        <f t="shared" si="46"/>
        <v>59.507042253521128</v>
      </c>
      <c r="T446" s="6">
        <f t="shared" si="47"/>
        <v>3035.7220843970254</v>
      </c>
      <c r="U446" s="6">
        <f t="shared" si="48"/>
        <v>31.357220843970254</v>
      </c>
    </row>
    <row r="447" spans="1:21" x14ac:dyDescent="0.3">
      <c r="A447" s="2">
        <v>45675</v>
      </c>
      <c r="B447" t="s">
        <v>15</v>
      </c>
      <c r="C447" t="s">
        <v>20</v>
      </c>
      <c r="D447" t="s">
        <v>25</v>
      </c>
      <c r="E447" t="s">
        <v>28</v>
      </c>
      <c r="F447">
        <v>143217</v>
      </c>
      <c r="G447">
        <v>6695</v>
      </c>
      <c r="H447">
        <v>1166</v>
      </c>
      <c r="I447">
        <v>607</v>
      </c>
      <c r="J447">
        <v>327</v>
      </c>
      <c r="K447" s="4">
        <v>67853.55</v>
      </c>
      <c r="L447" s="4">
        <v>1547240.6</v>
      </c>
      <c r="M447" t="s">
        <v>32</v>
      </c>
      <c r="N447">
        <f t="shared" si="42"/>
        <v>1</v>
      </c>
      <c r="O447" t="str">
        <f>IF(AND(G447&lt;=F447,H447&lt;=G447,I447&lt;=H447,J447&lt;=I447),"OK","Check")</f>
        <v>OK</v>
      </c>
      <c r="P447" s="6">
        <f t="shared" si="43"/>
        <v>4.6747243693136991</v>
      </c>
      <c r="Q447" s="6">
        <f t="shared" si="44"/>
        <v>17.415982076176249</v>
      </c>
      <c r="R447" s="6">
        <f t="shared" si="45"/>
        <v>52.058319039451121</v>
      </c>
      <c r="S447" s="6">
        <f t="shared" si="46"/>
        <v>53.871499176276771</v>
      </c>
      <c r="T447" s="6">
        <f t="shared" si="47"/>
        <v>2180.2647761244621</v>
      </c>
      <c r="U447" s="6">
        <f t="shared" si="48"/>
        <v>22.802647761244621</v>
      </c>
    </row>
    <row r="448" spans="1:21" x14ac:dyDescent="0.3">
      <c r="A448" s="2">
        <v>45676</v>
      </c>
      <c r="B448" t="s">
        <v>15</v>
      </c>
      <c r="C448" t="s">
        <v>20</v>
      </c>
      <c r="D448" t="s">
        <v>25</v>
      </c>
      <c r="E448" t="s">
        <v>28</v>
      </c>
      <c r="F448">
        <v>72167</v>
      </c>
      <c r="G448">
        <v>3593</v>
      </c>
      <c r="H448">
        <v>602</v>
      </c>
      <c r="I448">
        <v>351</v>
      </c>
      <c r="J448">
        <v>197</v>
      </c>
      <c r="K448" s="4">
        <v>70366.31</v>
      </c>
      <c r="L448" s="4">
        <v>1134508.6499999999</v>
      </c>
      <c r="M448" t="s">
        <v>35</v>
      </c>
      <c r="N448">
        <f t="shared" si="42"/>
        <v>1</v>
      </c>
      <c r="O448" t="str">
        <f>IF(AND(G448&lt;=F448,H448&lt;=G448,I448&lt;=H448,J448&lt;=I448),"OK","Check")</f>
        <v>OK</v>
      </c>
      <c r="P448" s="6">
        <f t="shared" si="43"/>
        <v>4.9787298903931161</v>
      </c>
      <c r="Q448" s="6">
        <f t="shared" si="44"/>
        <v>16.754801001948234</v>
      </c>
      <c r="R448" s="6">
        <f t="shared" si="45"/>
        <v>58.305647840531563</v>
      </c>
      <c r="S448" s="6">
        <f t="shared" si="46"/>
        <v>56.125356125356127</v>
      </c>
      <c r="T448" s="6">
        <f t="shared" si="47"/>
        <v>1512.2895317375601</v>
      </c>
      <c r="U448" s="6">
        <f t="shared" si="48"/>
        <v>16.122895317375601</v>
      </c>
    </row>
    <row r="449" spans="1:21" x14ac:dyDescent="0.3">
      <c r="A449" s="2">
        <v>45677</v>
      </c>
      <c r="B449" t="s">
        <v>15</v>
      </c>
      <c r="C449" t="s">
        <v>20</v>
      </c>
      <c r="D449" t="s">
        <v>25</v>
      </c>
      <c r="E449" t="s">
        <v>28</v>
      </c>
      <c r="F449">
        <v>239490</v>
      </c>
      <c r="G449">
        <v>16490</v>
      </c>
      <c r="H449">
        <v>2821</v>
      </c>
      <c r="I449">
        <v>1500</v>
      </c>
      <c r="J449">
        <v>857</v>
      </c>
      <c r="K449" s="4">
        <v>231252.5</v>
      </c>
      <c r="L449" s="4">
        <v>2591070.7400000002</v>
      </c>
      <c r="M449" t="s">
        <v>31</v>
      </c>
      <c r="N449">
        <f t="shared" si="42"/>
        <v>1</v>
      </c>
      <c r="O449" t="str">
        <f>IF(AND(G449&lt;=F449,H449&lt;=G449,I449&lt;=H449,J449&lt;=I449),"OK","Check")</f>
        <v>OK</v>
      </c>
      <c r="P449" s="6">
        <f t="shared" si="43"/>
        <v>6.8854649463443147</v>
      </c>
      <c r="Q449" s="6">
        <f t="shared" si="44"/>
        <v>17.107337780473014</v>
      </c>
      <c r="R449" s="6">
        <f t="shared" si="45"/>
        <v>53.172633817795109</v>
      </c>
      <c r="S449" s="6">
        <f t="shared" si="46"/>
        <v>57.133333333333333</v>
      </c>
      <c r="T449" s="6">
        <f t="shared" si="47"/>
        <v>1020.4509097198951</v>
      </c>
      <c r="U449" s="6">
        <f t="shared" si="48"/>
        <v>11.204509097198951</v>
      </c>
    </row>
    <row r="450" spans="1:21" x14ac:dyDescent="0.3">
      <c r="A450" s="2">
        <v>45678</v>
      </c>
      <c r="B450" t="s">
        <v>15</v>
      </c>
      <c r="C450" t="s">
        <v>20</v>
      </c>
      <c r="D450" t="s">
        <v>25</v>
      </c>
      <c r="E450" t="s">
        <v>28</v>
      </c>
      <c r="F450">
        <v>114858</v>
      </c>
      <c r="G450">
        <v>8995</v>
      </c>
      <c r="H450">
        <v>2140</v>
      </c>
      <c r="I450">
        <v>1042</v>
      </c>
      <c r="J450">
        <v>585</v>
      </c>
      <c r="K450" s="4">
        <v>109054.25</v>
      </c>
      <c r="L450" s="4">
        <v>3742051.97</v>
      </c>
      <c r="M450" t="s">
        <v>31</v>
      </c>
      <c r="N450">
        <f t="shared" si="42"/>
        <v>1</v>
      </c>
      <c r="O450" t="str">
        <f>IF(AND(G450&lt;=F450,H450&lt;=G450,I450&lt;=H450,J450&lt;=I450),"OK","Check")</f>
        <v>OK</v>
      </c>
      <c r="P450" s="6">
        <f t="shared" si="43"/>
        <v>7.8314092183391661</v>
      </c>
      <c r="Q450" s="6">
        <f t="shared" si="44"/>
        <v>23.790994997220675</v>
      </c>
      <c r="R450" s="6">
        <f t="shared" si="45"/>
        <v>48.691588785046733</v>
      </c>
      <c r="S450" s="6">
        <f t="shared" si="46"/>
        <v>56.142034548944345</v>
      </c>
      <c r="T450" s="6">
        <f t="shared" si="47"/>
        <v>3331.3673882494263</v>
      </c>
      <c r="U450" s="6">
        <f t="shared" si="48"/>
        <v>34.313673882494264</v>
      </c>
    </row>
    <row r="451" spans="1:21" x14ac:dyDescent="0.3">
      <c r="A451" s="2">
        <v>45679</v>
      </c>
      <c r="B451" t="s">
        <v>15</v>
      </c>
      <c r="C451" t="s">
        <v>20</v>
      </c>
      <c r="D451" t="s">
        <v>25</v>
      </c>
      <c r="E451" t="s">
        <v>30</v>
      </c>
      <c r="F451">
        <v>287469</v>
      </c>
      <c r="G451">
        <v>15650</v>
      </c>
      <c r="H451">
        <v>3709</v>
      </c>
      <c r="I451">
        <v>1899</v>
      </c>
      <c r="J451">
        <v>784</v>
      </c>
      <c r="K451" s="4">
        <v>253282.64</v>
      </c>
      <c r="L451" s="4">
        <v>2874025.11</v>
      </c>
      <c r="M451" t="s">
        <v>34</v>
      </c>
      <c r="N451">
        <f t="shared" ref="N451:N514" si="49">COUNTIFS(A:A,A451,B:B,B451,C:C,C451,D:D,D451,E:E,E451,F:F,F451,G:G,G451,H:H,H451,I:I,I451,J:J,J451,K:K,K451,L:L,L451,M:M,M451)</f>
        <v>1</v>
      </c>
      <c r="O451" t="str">
        <f>IF(AND(G451&lt;=F451,H451&lt;=G451,I451&lt;=H451,J451&lt;=I451),"OK","Check")</f>
        <v>OK</v>
      </c>
      <c r="P451" s="6">
        <f t="shared" ref="P451:P514" si="50">IFERROR(G451/F451*100,0)</f>
        <v>5.4440652731251022</v>
      </c>
      <c r="Q451" s="6">
        <f t="shared" ref="Q451:Q514" si="51">IFERROR(H451/G451*100,0)</f>
        <v>23.699680511182109</v>
      </c>
      <c r="R451" s="6">
        <f t="shared" ref="R451:R514" si="52">IFERROR(I451/H451*100,0)</f>
        <v>51.199784308438936</v>
      </c>
      <c r="S451" s="6">
        <f t="shared" ref="S451:S514" si="53">IFERROR(J451/I451*100,0)</f>
        <v>41.28488678251712</v>
      </c>
      <c r="T451" s="6">
        <f t="shared" ref="T451:T514" si="54">IFERROR((L451-K451)/K451*100,0)</f>
        <v>1034.7106576273839</v>
      </c>
      <c r="U451" s="6">
        <f t="shared" ref="U451:U514" si="55">IFERROR(L451/K451,0)</f>
        <v>11.347106576273841</v>
      </c>
    </row>
    <row r="452" spans="1:21" x14ac:dyDescent="0.3">
      <c r="A452" s="2">
        <v>45680</v>
      </c>
      <c r="B452" t="s">
        <v>15</v>
      </c>
      <c r="C452" t="s">
        <v>20</v>
      </c>
      <c r="D452" t="s">
        <v>25</v>
      </c>
      <c r="E452" t="s">
        <v>28</v>
      </c>
      <c r="F452">
        <v>160382</v>
      </c>
      <c r="G452">
        <v>12822</v>
      </c>
      <c r="H452">
        <v>2675</v>
      </c>
      <c r="I452">
        <v>1467</v>
      </c>
      <c r="J452">
        <v>670</v>
      </c>
      <c r="K452" s="4">
        <v>98850.69</v>
      </c>
      <c r="L452" s="4">
        <v>3011981.4</v>
      </c>
      <c r="M452" t="s">
        <v>31</v>
      </c>
      <c r="N452">
        <f t="shared" si="49"/>
        <v>1</v>
      </c>
      <c r="O452" t="str">
        <f>IF(AND(G452&lt;=F452,H452&lt;=G452,I452&lt;=H452,J452&lt;=I452),"OK","Check")</f>
        <v>OK</v>
      </c>
      <c r="P452" s="6">
        <f t="shared" si="50"/>
        <v>7.9946627427017996</v>
      </c>
      <c r="Q452" s="6">
        <f t="shared" si="51"/>
        <v>20.862579940726874</v>
      </c>
      <c r="R452" s="6">
        <f t="shared" si="52"/>
        <v>54.841121495327108</v>
      </c>
      <c r="S452" s="6">
        <f t="shared" si="53"/>
        <v>45.671438309475121</v>
      </c>
      <c r="T452" s="6">
        <f t="shared" si="54"/>
        <v>2947.0008858815249</v>
      </c>
      <c r="U452" s="6">
        <f t="shared" si="55"/>
        <v>30.470008858815248</v>
      </c>
    </row>
    <row r="453" spans="1:21" x14ac:dyDescent="0.3">
      <c r="A453" s="2">
        <v>45681</v>
      </c>
      <c r="B453" t="s">
        <v>15</v>
      </c>
      <c r="C453" t="s">
        <v>20</v>
      </c>
      <c r="D453" t="s">
        <v>25</v>
      </c>
      <c r="E453" t="s">
        <v>28</v>
      </c>
      <c r="F453">
        <v>87341</v>
      </c>
      <c r="G453">
        <v>6016</v>
      </c>
      <c r="H453">
        <v>1290</v>
      </c>
      <c r="I453">
        <v>669</v>
      </c>
      <c r="J453">
        <v>315</v>
      </c>
      <c r="K453" s="4">
        <v>35138.720000000001</v>
      </c>
      <c r="L453" s="4">
        <v>2092169.31</v>
      </c>
      <c r="M453" t="s">
        <v>35</v>
      </c>
      <c r="N453">
        <f t="shared" si="49"/>
        <v>1</v>
      </c>
      <c r="O453" t="str">
        <f>IF(AND(G453&lt;=F453,H453&lt;=G453,I453&lt;=H453,J453&lt;=I453),"OK","Check")</f>
        <v>OK</v>
      </c>
      <c r="P453" s="6">
        <f t="shared" si="50"/>
        <v>6.8879449513973974</v>
      </c>
      <c r="Q453" s="6">
        <f t="shared" si="51"/>
        <v>21.44281914893617</v>
      </c>
      <c r="R453" s="6">
        <f t="shared" si="52"/>
        <v>51.860465116279073</v>
      </c>
      <c r="S453" s="6">
        <f t="shared" si="53"/>
        <v>47.085201793721978</v>
      </c>
      <c r="T453" s="6">
        <f t="shared" si="54"/>
        <v>5854.028234380763</v>
      </c>
      <c r="U453" s="6">
        <f t="shared" si="55"/>
        <v>59.540282343807625</v>
      </c>
    </row>
    <row r="454" spans="1:21" x14ac:dyDescent="0.3">
      <c r="A454" s="2">
        <v>45682</v>
      </c>
      <c r="B454" t="s">
        <v>15</v>
      </c>
      <c r="C454" t="s">
        <v>20</v>
      </c>
      <c r="D454" t="s">
        <v>25</v>
      </c>
      <c r="E454" t="s">
        <v>28</v>
      </c>
      <c r="F454">
        <v>184938</v>
      </c>
      <c r="G454">
        <v>6118</v>
      </c>
      <c r="H454">
        <v>1450</v>
      </c>
      <c r="I454">
        <v>865</v>
      </c>
      <c r="J454">
        <v>478</v>
      </c>
      <c r="K454" s="4">
        <v>132226.89000000001</v>
      </c>
      <c r="L454" s="4">
        <v>1439934.34</v>
      </c>
      <c r="M454" t="s">
        <v>33</v>
      </c>
      <c r="N454">
        <f t="shared" si="49"/>
        <v>1</v>
      </c>
      <c r="O454" t="str">
        <f>IF(AND(G454&lt;=F454,H454&lt;=G454,I454&lt;=H454,J454&lt;=I454),"OK","Check")</f>
        <v>OK</v>
      </c>
      <c r="P454" s="6">
        <f t="shared" si="50"/>
        <v>3.3081356995317348</v>
      </c>
      <c r="Q454" s="6">
        <f t="shared" si="51"/>
        <v>23.700555737169012</v>
      </c>
      <c r="R454" s="6">
        <f t="shared" si="52"/>
        <v>59.655172413793103</v>
      </c>
      <c r="S454" s="6">
        <f t="shared" si="53"/>
        <v>55.260115606936409</v>
      </c>
      <c r="T454" s="6">
        <f t="shared" si="54"/>
        <v>988.98752742350666</v>
      </c>
      <c r="U454" s="6">
        <f t="shared" si="55"/>
        <v>10.889875274235067</v>
      </c>
    </row>
    <row r="455" spans="1:21" x14ac:dyDescent="0.3">
      <c r="A455" s="2">
        <v>45683</v>
      </c>
      <c r="B455" t="s">
        <v>15</v>
      </c>
      <c r="C455" t="s">
        <v>20</v>
      </c>
      <c r="D455" t="s">
        <v>25</v>
      </c>
      <c r="E455" t="s">
        <v>28</v>
      </c>
      <c r="F455">
        <v>63670</v>
      </c>
      <c r="G455">
        <v>3261</v>
      </c>
      <c r="H455">
        <v>779</v>
      </c>
      <c r="I455">
        <v>463</v>
      </c>
      <c r="J455">
        <v>260</v>
      </c>
      <c r="K455" s="4">
        <v>57921.04</v>
      </c>
      <c r="L455" s="4">
        <v>1810450.96</v>
      </c>
      <c r="M455" t="s">
        <v>33</v>
      </c>
      <c r="N455">
        <f t="shared" si="49"/>
        <v>1</v>
      </c>
      <c r="O455" t="str">
        <f>IF(AND(G455&lt;=F455,H455&lt;=G455,I455&lt;=H455,J455&lt;=I455),"OK","Check")</f>
        <v>OK</v>
      </c>
      <c r="P455" s="6">
        <f t="shared" si="50"/>
        <v>5.1217213758441966</v>
      </c>
      <c r="Q455" s="6">
        <f t="shared" si="51"/>
        <v>23.888377798221406</v>
      </c>
      <c r="R455" s="6">
        <f t="shared" si="52"/>
        <v>59.435173299101407</v>
      </c>
      <c r="S455" s="6">
        <f t="shared" si="53"/>
        <v>56.155507559395247</v>
      </c>
      <c r="T455" s="6">
        <f t="shared" si="54"/>
        <v>3025.7224663093066</v>
      </c>
      <c r="U455" s="6">
        <f t="shared" si="55"/>
        <v>31.257224663093066</v>
      </c>
    </row>
    <row r="456" spans="1:21" x14ac:dyDescent="0.3">
      <c r="A456" s="2">
        <v>45684</v>
      </c>
      <c r="B456" t="s">
        <v>15</v>
      </c>
      <c r="C456" t="s">
        <v>20</v>
      </c>
      <c r="D456" t="s">
        <v>25</v>
      </c>
      <c r="E456" t="s">
        <v>29</v>
      </c>
      <c r="F456">
        <v>182711</v>
      </c>
      <c r="G456">
        <v>13431</v>
      </c>
      <c r="H456">
        <v>2341</v>
      </c>
      <c r="I456">
        <v>1427</v>
      </c>
      <c r="J456">
        <v>816</v>
      </c>
      <c r="K456" s="4">
        <v>123017.03</v>
      </c>
      <c r="L456" s="4">
        <v>5356819.38</v>
      </c>
      <c r="M456" t="s">
        <v>33</v>
      </c>
      <c r="N456">
        <f t="shared" si="49"/>
        <v>1</v>
      </c>
      <c r="O456" t="str">
        <f>IF(AND(G456&lt;=F456,H456&lt;=G456,I456&lt;=H456,J456&lt;=I456),"OK","Check")</f>
        <v>OK</v>
      </c>
      <c r="P456" s="6">
        <f t="shared" si="50"/>
        <v>7.3509531445835234</v>
      </c>
      <c r="Q456" s="6">
        <f t="shared" si="51"/>
        <v>17.42982652073561</v>
      </c>
      <c r="R456" s="6">
        <f t="shared" si="52"/>
        <v>60.956856044425457</v>
      </c>
      <c r="S456" s="6">
        <f t="shared" si="53"/>
        <v>57.182901191310442</v>
      </c>
      <c r="T456" s="6">
        <f t="shared" si="54"/>
        <v>4254.534798962387</v>
      </c>
      <c r="U456" s="6">
        <f t="shared" si="55"/>
        <v>43.545347989623878</v>
      </c>
    </row>
    <row r="457" spans="1:21" x14ac:dyDescent="0.3">
      <c r="A457" s="2">
        <v>45685</v>
      </c>
      <c r="B457" t="s">
        <v>15</v>
      </c>
      <c r="C457" t="s">
        <v>20</v>
      </c>
      <c r="D457" t="s">
        <v>25</v>
      </c>
      <c r="E457" t="s">
        <v>29</v>
      </c>
      <c r="F457">
        <v>228212</v>
      </c>
      <c r="G457">
        <v>18002</v>
      </c>
      <c r="H457">
        <v>4371</v>
      </c>
      <c r="I457">
        <v>2526</v>
      </c>
      <c r="J457">
        <v>1404</v>
      </c>
      <c r="K457" s="4">
        <v>140065.29999999999</v>
      </c>
      <c r="L457" s="4">
        <v>6510695.7000000002</v>
      </c>
      <c r="M457" t="s">
        <v>32</v>
      </c>
      <c r="N457">
        <f t="shared" si="49"/>
        <v>1</v>
      </c>
      <c r="O457" t="str">
        <f>IF(AND(G457&lt;=F457,H457&lt;=G457,I457&lt;=H457,J457&lt;=I457),"OK","Check")</f>
        <v>OK</v>
      </c>
      <c r="P457" s="6">
        <f t="shared" si="50"/>
        <v>7.888279319229488</v>
      </c>
      <c r="Q457" s="6">
        <f t="shared" si="51"/>
        <v>24.280635484946117</v>
      </c>
      <c r="R457" s="6">
        <f t="shared" si="52"/>
        <v>57.789979409746053</v>
      </c>
      <c r="S457" s="6">
        <f t="shared" si="53"/>
        <v>55.581947743467929</v>
      </c>
      <c r="T457" s="6">
        <f t="shared" si="54"/>
        <v>4548.3288152026244</v>
      </c>
      <c r="U457" s="6">
        <f t="shared" si="55"/>
        <v>46.48328815202624</v>
      </c>
    </row>
    <row r="458" spans="1:21" x14ac:dyDescent="0.3">
      <c r="A458" s="2">
        <v>45686</v>
      </c>
      <c r="B458" t="s">
        <v>15</v>
      </c>
      <c r="C458" t="s">
        <v>20</v>
      </c>
      <c r="D458" t="s">
        <v>25</v>
      </c>
      <c r="E458" t="s">
        <v>30</v>
      </c>
      <c r="F458">
        <v>258910</v>
      </c>
      <c r="G458">
        <v>20306</v>
      </c>
      <c r="H458">
        <v>3105</v>
      </c>
      <c r="I458">
        <v>1415</v>
      </c>
      <c r="J458">
        <v>615</v>
      </c>
      <c r="K458" s="4">
        <v>196117.34</v>
      </c>
      <c r="L458" s="4">
        <v>4520782.34</v>
      </c>
      <c r="M458" t="s">
        <v>35</v>
      </c>
      <c r="N458">
        <f t="shared" si="49"/>
        <v>1</v>
      </c>
      <c r="O458" t="str">
        <f>IF(AND(G458&lt;=F458,H458&lt;=G458,I458&lt;=H458,J458&lt;=I458),"OK","Check")</f>
        <v>OK</v>
      </c>
      <c r="P458" s="6">
        <f t="shared" si="50"/>
        <v>7.8428797651693642</v>
      </c>
      <c r="Q458" s="6">
        <f t="shared" si="51"/>
        <v>15.291046981187826</v>
      </c>
      <c r="R458" s="6">
        <f t="shared" si="52"/>
        <v>45.571658615136876</v>
      </c>
      <c r="S458" s="6">
        <f t="shared" si="53"/>
        <v>43.462897526501763</v>
      </c>
      <c r="T458" s="6">
        <f t="shared" si="54"/>
        <v>2205.1415749367193</v>
      </c>
      <c r="U458" s="6">
        <f t="shared" si="55"/>
        <v>23.051415749367191</v>
      </c>
    </row>
    <row r="459" spans="1:21" x14ac:dyDescent="0.3">
      <c r="A459" s="2">
        <v>45687</v>
      </c>
      <c r="B459" t="s">
        <v>15</v>
      </c>
      <c r="C459" t="s">
        <v>20</v>
      </c>
      <c r="D459" t="s">
        <v>25</v>
      </c>
      <c r="E459" t="s">
        <v>29</v>
      </c>
      <c r="F459">
        <v>90143</v>
      </c>
      <c r="G459">
        <v>2803</v>
      </c>
      <c r="H459">
        <v>540</v>
      </c>
      <c r="I459">
        <v>314</v>
      </c>
      <c r="J459">
        <v>175</v>
      </c>
      <c r="K459" s="4">
        <v>40656.589999999997</v>
      </c>
      <c r="L459" s="4">
        <v>1007449.12</v>
      </c>
      <c r="M459" t="s">
        <v>31</v>
      </c>
      <c r="N459">
        <f t="shared" si="49"/>
        <v>1</v>
      </c>
      <c r="O459" t="str">
        <f>IF(AND(G459&lt;=F459,H459&lt;=G459,I459&lt;=H459,J459&lt;=I459),"OK","Check")</f>
        <v>OK</v>
      </c>
      <c r="P459" s="6">
        <f t="shared" si="50"/>
        <v>3.1095037884250578</v>
      </c>
      <c r="Q459" s="6">
        <f t="shared" si="51"/>
        <v>19.265073135925796</v>
      </c>
      <c r="R459" s="6">
        <f t="shared" si="52"/>
        <v>58.148148148148152</v>
      </c>
      <c r="S459" s="6">
        <f t="shared" si="53"/>
        <v>55.732484076433117</v>
      </c>
      <c r="T459" s="6">
        <f t="shared" si="54"/>
        <v>2377.947904632435</v>
      </c>
      <c r="U459" s="6">
        <f t="shared" si="55"/>
        <v>24.779479046324351</v>
      </c>
    </row>
    <row r="460" spans="1:21" x14ac:dyDescent="0.3">
      <c r="A460" s="2">
        <v>45688</v>
      </c>
      <c r="B460" t="s">
        <v>15</v>
      </c>
      <c r="C460" t="s">
        <v>20</v>
      </c>
      <c r="D460" t="s">
        <v>25</v>
      </c>
      <c r="E460" t="s">
        <v>28</v>
      </c>
      <c r="F460">
        <v>85144</v>
      </c>
      <c r="G460">
        <v>3382</v>
      </c>
      <c r="H460">
        <v>587</v>
      </c>
      <c r="I460">
        <v>296</v>
      </c>
      <c r="J460">
        <v>155</v>
      </c>
      <c r="K460" s="4">
        <v>42903.25</v>
      </c>
      <c r="L460" s="4">
        <v>564840.05000000005</v>
      </c>
      <c r="M460" t="s">
        <v>31</v>
      </c>
      <c r="N460">
        <f t="shared" si="49"/>
        <v>1</v>
      </c>
      <c r="O460" t="str">
        <f>IF(AND(G460&lt;=F460,H460&lt;=G460,I460&lt;=H460,J460&lt;=I460),"OK","Check")</f>
        <v>OK</v>
      </c>
      <c r="P460" s="6">
        <f t="shared" si="50"/>
        <v>3.9720943343042374</v>
      </c>
      <c r="Q460" s="6">
        <f t="shared" si="51"/>
        <v>17.356593731519812</v>
      </c>
      <c r="R460" s="6">
        <f t="shared" si="52"/>
        <v>50.425894378194201</v>
      </c>
      <c r="S460" s="6">
        <f t="shared" si="53"/>
        <v>52.36486486486487</v>
      </c>
      <c r="T460" s="6">
        <f t="shared" si="54"/>
        <v>1216.5437350317286</v>
      </c>
      <c r="U460" s="6">
        <f t="shared" si="55"/>
        <v>13.165437350317285</v>
      </c>
    </row>
    <row r="461" spans="1:21" x14ac:dyDescent="0.3">
      <c r="A461" s="2">
        <v>45689</v>
      </c>
      <c r="B461" t="s">
        <v>15</v>
      </c>
      <c r="C461" t="s">
        <v>20</v>
      </c>
      <c r="D461" t="s">
        <v>25</v>
      </c>
      <c r="E461" t="s">
        <v>30</v>
      </c>
      <c r="F461">
        <v>247492</v>
      </c>
      <c r="G461">
        <v>18132</v>
      </c>
      <c r="H461">
        <v>4384</v>
      </c>
      <c r="I461">
        <v>2710</v>
      </c>
      <c r="J461">
        <v>1613</v>
      </c>
      <c r="K461" s="4">
        <v>189072.19</v>
      </c>
      <c r="L461" s="4">
        <v>6367802.4699999997</v>
      </c>
      <c r="M461" t="s">
        <v>35</v>
      </c>
      <c r="N461">
        <f t="shared" si="49"/>
        <v>1</v>
      </c>
      <c r="O461" t="str">
        <f>IF(AND(G461&lt;=F461,H461&lt;=G461,I461&lt;=H461,J461&lt;=I461),"OK","Check")</f>
        <v>OK</v>
      </c>
      <c r="P461" s="6">
        <f t="shared" si="50"/>
        <v>7.3262974156740421</v>
      </c>
      <c r="Q461" s="6">
        <f t="shared" si="51"/>
        <v>24.17824840061769</v>
      </c>
      <c r="R461" s="6">
        <f t="shared" si="52"/>
        <v>61.815693430656935</v>
      </c>
      <c r="S461" s="6">
        <f t="shared" si="53"/>
        <v>59.520295202952035</v>
      </c>
      <c r="T461" s="6">
        <f t="shared" si="54"/>
        <v>3267.9212527236286</v>
      </c>
      <c r="U461" s="6">
        <f t="shared" si="55"/>
        <v>33.679212527236288</v>
      </c>
    </row>
    <row r="462" spans="1:21" x14ac:dyDescent="0.3">
      <c r="A462" s="2">
        <v>45690</v>
      </c>
      <c r="B462" t="s">
        <v>15</v>
      </c>
      <c r="C462" t="s">
        <v>20</v>
      </c>
      <c r="D462" t="s">
        <v>25</v>
      </c>
      <c r="E462" t="s">
        <v>30</v>
      </c>
      <c r="F462">
        <v>131901</v>
      </c>
      <c r="G462">
        <v>8460</v>
      </c>
      <c r="H462">
        <v>1385</v>
      </c>
      <c r="I462">
        <v>816</v>
      </c>
      <c r="J462">
        <v>412</v>
      </c>
      <c r="K462" s="4">
        <v>123943.03</v>
      </c>
      <c r="L462" s="4">
        <v>2536624.06</v>
      </c>
      <c r="M462" t="s">
        <v>35</v>
      </c>
      <c r="N462">
        <f t="shared" si="49"/>
        <v>1</v>
      </c>
      <c r="O462" t="str">
        <f>IF(AND(G462&lt;=F462,H462&lt;=G462,I462&lt;=H462,J462&lt;=I462),"OK","Check")</f>
        <v>OK</v>
      </c>
      <c r="P462" s="6">
        <f t="shared" si="50"/>
        <v>6.4139013350922287</v>
      </c>
      <c r="Q462" s="6">
        <f t="shared" si="51"/>
        <v>16.371158392434985</v>
      </c>
      <c r="R462" s="6">
        <f t="shared" si="52"/>
        <v>58.916967509025277</v>
      </c>
      <c r="S462" s="6">
        <f t="shared" si="53"/>
        <v>50.490196078431367</v>
      </c>
      <c r="T462" s="6">
        <f t="shared" si="54"/>
        <v>1946.6048474044892</v>
      </c>
      <c r="U462" s="6">
        <f t="shared" si="55"/>
        <v>20.466048474044889</v>
      </c>
    </row>
    <row r="463" spans="1:21" x14ac:dyDescent="0.3">
      <c r="A463" s="2">
        <v>45691</v>
      </c>
      <c r="B463" t="s">
        <v>15</v>
      </c>
      <c r="C463" t="s">
        <v>20</v>
      </c>
      <c r="D463" t="s">
        <v>25</v>
      </c>
      <c r="E463" t="s">
        <v>30</v>
      </c>
      <c r="F463">
        <v>228466</v>
      </c>
      <c r="G463">
        <v>8425</v>
      </c>
      <c r="H463">
        <v>1286</v>
      </c>
      <c r="I463">
        <v>782</v>
      </c>
      <c r="J463">
        <v>385</v>
      </c>
      <c r="K463" s="4">
        <v>169210.25</v>
      </c>
      <c r="L463" s="4">
        <v>1194707.96</v>
      </c>
      <c r="M463" t="s">
        <v>35</v>
      </c>
      <c r="N463">
        <f t="shared" si="49"/>
        <v>1</v>
      </c>
      <c r="O463" t="str">
        <f>IF(AND(G463&lt;=F463,H463&lt;=G463,I463&lt;=H463,J463&lt;=I463),"OK","Check")</f>
        <v>OK</v>
      </c>
      <c r="P463" s="6">
        <f t="shared" si="50"/>
        <v>3.6876384232227117</v>
      </c>
      <c r="Q463" s="6">
        <f t="shared" si="51"/>
        <v>15.264094955489615</v>
      </c>
      <c r="R463" s="6">
        <f t="shared" si="52"/>
        <v>60.808709175738727</v>
      </c>
      <c r="S463" s="6">
        <f t="shared" si="53"/>
        <v>49.232736572890026</v>
      </c>
      <c r="T463" s="6">
        <f t="shared" si="54"/>
        <v>606.0494030355726</v>
      </c>
      <c r="U463" s="6">
        <f t="shared" si="55"/>
        <v>7.0604940303557262</v>
      </c>
    </row>
    <row r="464" spans="1:21" x14ac:dyDescent="0.3">
      <c r="A464" s="2">
        <v>45692</v>
      </c>
      <c r="B464" t="s">
        <v>15</v>
      </c>
      <c r="C464" t="s">
        <v>20</v>
      </c>
      <c r="D464" t="s">
        <v>25</v>
      </c>
      <c r="E464" t="s">
        <v>29</v>
      </c>
      <c r="F464">
        <v>224736</v>
      </c>
      <c r="G464">
        <v>14914</v>
      </c>
      <c r="H464">
        <v>3722</v>
      </c>
      <c r="I464">
        <v>2167</v>
      </c>
      <c r="J464">
        <v>1264</v>
      </c>
      <c r="K464" s="4">
        <v>217968.09</v>
      </c>
      <c r="L464" s="4">
        <v>3957313.4</v>
      </c>
      <c r="M464" t="s">
        <v>34</v>
      </c>
      <c r="N464">
        <f t="shared" si="49"/>
        <v>1</v>
      </c>
      <c r="O464" t="str">
        <f>IF(AND(G464&lt;=F464,H464&lt;=G464,I464&lt;=H464,J464&lt;=I464),"OK","Check")</f>
        <v>OK</v>
      </c>
      <c r="P464" s="6">
        <f t="shared" si="50"/>
        <v>6.6362309554321515</v>
      </c>
      <c r="Q464" s="6">
        <f t="shared" si="51"/>
        <v>24.956416789593671</v>
      </c>
      <c r="R464" s="6">
        <f t="shared" si="52"/>
        <v>58.221386351423966</v>
      </c>
      <c r="S464" s="6">
        <f t="shared" si="53"/>
        <v>58.329487771112134</v>
      </c>
      <c r="T464" s="6">
        <f t="shared" si="54"/>
        <v>1715.547128939837</v>
      </c>
      <c r="U464" s="6">
        <f t="shared" si="55"/>
        <v>18.155471289398371</v>
      </c>
    </row>
    <row r="465" spans="1:21" x14ac:dyDescent="0.3">
      <c r="A465" s="2">
        <v>45693</v>
      </c>
      <c r="B465" t="s">
        <v>15</v>
      </c>
      <c r="C465" t="s">
        <v>20</v>
      </c>
      <c r="D465" t="s">
        <v>25</v>
      </c>
      <c r="E465" t="s">
        <v>30</v>
      </c>
      <c r="F465">
        <v>169022</v>
      </c>
      <c r="G465">
        <v>13204</v>
      </c>
      <c r="H465">
        <v>3261</v>
      </c>
      <c r="I465">
        <v>1590</v>
      </c>
      <c r="J465">
        <v>892</v>
      </c>
      <c r="K465" s="4">
        <v>147597.12</v>
      </c>
      <c r="L465" s="4">
        <v>2727577.06</v>
      </c>
      <c r="M465" t="s">
        <v>34</v>
      </c>
      <c r="N465">
        <f t="shared" si="49"/>
        <v>1</v>
      </c>
      <c r="O465" t="str">
        <f>IF(AND(G465&lt;=F465,H465&lt;=G465,I465&lt;=H465,J465&lt;=I465),"OK","Check")</f>
        <v>OK</v>
      </c>
      <c r="P465" s="6">
        <f t="shared" si="50"/>
        <v>7.8120008046289842</v>
      </c>
      <c r="Q465" s="6">
        <f t="shared" si="51"/>
        <v>24.697061496516206</v>
      </c>
      <c r="R465" s="6">
        <f t="shared" si="52"/>
        <v>48.758049678012874</v>
      </c>
      <c r="S465" s="6">
        <f t="shared" si="53"/>
        <v>56.100628930817606</v>
      </c>
      <c r="T465" s="6">
        <f t="shared" si="54"/>
        <v>1747.9879959717373</v>
      </c>
      <c r="U465" s="6">
        <f t="shared" si="55"/>
        <v>18.479879959717373</v>
      </c>
    </row>
    <row r="466" spans="1:21" x14ac:dyDescent="0.3">
      <c r="A466" s="2">
        <v>45694</v>
      </c>
      <c r="B466" t="s">
        <v>15</v>
      </c>
      <c r="C466" t="s">
        <v>20</v>
      </c>
      <c r="D466" t="s">
        <v>25</v>
      </c>
      <c r="E466" t="s">
        <v>29</v>
      </c>
      <c r="F466">
        <v>171440</v>
      </c>
      <c r="G466">
        <v>12089</v>
      </c>
      <c r="H466">
        <v>2871</v>
      </c>
      <c r="I466">
        <v>1782</v>
      </c>
      <c r="J466">
        <v>734</v>
      </c>
      <c r="K466" s="4">
        <v>118811.98</v>
      </c>
      <c r="L466" s="4">
        <v>2681533.2000000002</v>
      </c>
      <c r="M466" t="s">
        <v>33</v>
      </c>
      <c r="N466">
        <f t="shared" si="49"/>
        <v>1</v>
      </c>
      <c r="O466" t="str">
        <f>IF(AND(G466&lt;=F466,H466&lt;=G466,I466&lt;=H466,J466&lt;=I466),"OK","Check")</f>
        <v>OK</v>
      </c>
      <c r="P466" s="6">
        <f t="shared" si="50"/>
        <v>7.0514465702286522</v>
      </c>
      <c r="Q466" s="6">
        <f t="shared" si="51"/>
        <v>23.748862602365787</v>
      </c>
      <c r="R466" s="6">
        <f t="shared" si="52"/>
        <v>62.068965517241381</v>
      </c>
      <c r="S466" s="6">
        <f t="shared" si="53"/>
        <v>41.189674523007859</v>
      </c>
      <c r="T466" s="6">
        <f t="shared" si="54"/>
        <v>2156.9552329655648</v>
      </c>
      <c r="U466" s="6">
        <f t="shared" si="55"/>
        <v>22.569552329655647</v>
      </c>
    </row>
    <row r="467" spans="1:21" x14ac:dyDescent="0.3">
      <c r="A467" s="2">
        <v>45695</v>
      </c>
      <c r="B467" t="s">
        <v>15</v>
      </c>
      <c r="C467" t="s">
        <v>20</v>
      </c>
      <c r="D467" t="s">
        <v>25</v>
      </c>
      <c r="E467" t="s">
        <v>30</v>
      </c>
      <c r="F467">
        <v>157459</v>
      </c>
      <c r="G467">
        <v>9897</v>
      </c>
      <c r="H467">
        <v>2312</v>
      </c>
      <c r="I467">
        <v>1209</v>
      </c>
      <c r="J467">
        <v>650</v>
      </c>
      <c r="K467" s="4">
        <v>142696.95000000001</v>
      </c>
      <c r="L467" s="4">
        <v>2825372.26</v>
      </c>
      <c r="M467" t="s">
        <v>33</v>
      </c>
      <c r="N467">
        <f t="shared" si="49"/>
        <v>1</v>
      </c>
      <c r="O467" t="str">
        <f>IF(AND(G467&lt;=F467,H467&lt;=G467,I467&lt;=H467,J467&lt;=I467),"OK","Check")</f>
        <v>OK</v>
      </c>
      <c r="P467" s="6">
        <f t="shared" si="50"/>
        <v>6.2854457350802431</v>
      </c>
      <c r="Q467" s="6">
        <f t="shared" si="51"/>
        <v>23.360614327574012</v>
      </c>
      <c r="R467" s="6">
        <f t="shared" si="52"/>
        <v>52.292387543252595</v>
      </c>
      <c r="S467" s="6">
        <f t="shared" si="53"/>
        <v>53.763440860215049</v>
      </c>
      <c r="T467" s="6">
        <f t="shared" si="54"/>
        <v>1879.9808335076534</v>
      </c>
      <c r="U467" s="6">
        <f t="shared" si="55"/>
        <v>19.799808335076534</v>
      </c>
    </row>
    <row r="468" spans="1:21" x14ac:dyDescent="0.3">
      <c r="A468" s="2">
        <v>45696</v>
      </c>
      <c r="B468" t="s">
        <v>15</v>
      </c>
      <c r="C468" t="s">
        <v>20</v>
      </c>
      <c r="D468" t="s">
        <v>25</v>
      </c>
      <c r="E468" t="s">
        <v>28</v>
      </c>
      <c r="F468">
        <v>65423</v>
      </c>
      <c r="G468">
        <v>3275</v>
      </c>
      <c r="H468">
        <v>709</v>
      </c>
      <c r="I468">
        <v>417</v>
      </c>
      <c r="J468">
        <v>179</v>
      </c>
      <c r="K468" s="4">
        <v>31628.240000000002</v>
      </c>
      <c r="L468" s="4">
        <v>642830.89</v>
      </c>
      <c r="M468" t="s">
        <v>31</v>
      </c>
      <c r="N468">
        <f t="shared" si="49"/>
        <v>1</v>
      </c>
      <c r="O468" t="str">
        <f>IF(AND(G468&lt;=F468,H468&lt;=G468,I468&lt;=H468,J468&lt;=I468),"OK","Check")</f>
        <v>OK</v>
      </c>
      <c r="P468" s="6">
        <f t="shared" si="50"/>
        <v>5.005884780581753</v>
      </c>
      <c r="Q468" s="6">
        <f t="shared" si="51"/>
        <v>21.648854961832061</v>
      </c>
      <c r="R468" s="6">
        <f t="shared" si="52"/>
        <v>58.815232722143861</v>
      </c>
      <c r="S468" s="6">
        <f t="shared" si="53"/>
        <v>42.925659472422062</v>
      </c>
      <c r="T468" s="6">
        <f t="shared" si="54"/>
        <v>1932.4586192592442</v>
      </c>
      <c r="U468" s="6">
        <f t="shared" si="55"/>
        <v>20.324586192592442</v>
      </c>
    </row>
    <row r="469" spans="1:21" x14ac:dyDescent="0.3">
      <c r="A469" s="2">
        <v>45697</v>
      </c>
      <c r="B469" t="s">
        <v>15</v>
      </c>
      <c r="C469" t="s">
        <v>20</v>
      </c>
      <c r="D469" t="s">
        <v>25</v>
      </c>
      <c r="E469" t="s">
        <v>30</v>
      </c>
      <c r="F469">
        <v>194699</v>
      </c>
      <c r="G469">
        <v>6867</v>
      </c>
      <c r="H469">
        <v>1321</v>
      </c>
      <c r="I469">
        <v>634</v>
      </c>
      <c r="J469">
        <v>310</v>
      </c>
      <c r="K469" s="4">
        <v>138099.75</v>
      </c>
      <c r="L469" s="4">
        <v>2251050.92</v>
      </c>
      <c r="M469" t="s">
        <v>35</v>
      </c>
      <c r="N469">
        <f t="shared" si="49"/>
        <v>1</v>
      </c>
      <c r="O469" t="str">
        <f>IF(AND(G469&lt;=F469,H469&lt;=G469,I469&lt;=H469,J469&lt;=I469),"OK","Check")</f>
        <v>OK</v>
      </c>
      <c r="P469" s="6">
        <f t="shared" si="50"/>
        <v>3.5269826758226799</v>
      </c>
      <c r="Q469" s="6">
        <f t="shared" si="51"/>
        <v>19.23693024610456</v>
      </c>
      <c r="R469" s="6">
        <f t="shared" si="52"/>
        <v>47.993943981831947</v>
      </c>
      <c r="S469" s="6">
        <f t="shared" si="53"/>
        <v>48.895899053627758</v>
      </c>
      <c r="T469" s="6">
        <f t="shared" si="54"/>
        <v>1530.0180992362405</v>
      </c>
      <c r="U469" s="6">
        <f t="shared" si="55"/>
        <v>16.300180992362403</v>
      </c>
    </row>
    <row r="470" spans="1:21" x14ac:dyDescent="0.3">
      <c r="A470" s="2">
        <v>45698</v>
      </c>
      <c r="B470" t="s">
        <v>15</v>
      </c>
      <c r="C470" t="s">
        <v>20</v>
      </c>
      <c r="D470" t="s">
        <v>25</v>
      </c>
      <c r="E470" t="s">
        <v>29</v>
      </c>
      <c r="F470">
        <v>258921</v>
      </c>
      <c r="G470">
        <v>15451</v>
      </c>
      <c r="H470">
        <v>3155</v>
      </c>
      <c r="I470">
        <v>1580</v>
      </c>
      <c r="J470">
        <v>846</v>
      </c>
      <c r="K470" s="4">
        <v>123848.52</v>
      </c>
      <c r="L470" s="4">
        <v>2990116.79</v>
      </c>
      <c r="M470" t="s">
        <v>32</v>
      </c>
      <c r="N470">
        <f t="shared" si="49"/>
        <v>1</v>
      </c>
      <c r="O470" t="str">
        <f>IF(AND(G470&lt;=F470,H470&lt;=G470,I470&lt;=H470,J470&lt;=I470),"OK","Check")</f>
        <v>OK</v>
      </c>
      <c r="P470" s="6">
        <f t="shared" si="50"/>
        <v>5.9674572553018095</v>
      </c>
      <c r="Q470" s="6">
        <f t="shared" si="51"/>
        <v>20.41939033072293</v>
      </c>
      <c r="R470" s="6">
        <f t="shared" si="52"/>
        <v>50.079239302694134</v>
      </c>
      <c r="S470" s="6">
        <f t="shared" si="53"/>
        <v>53.544303797468352</v>
      </c>
      <c r="T470" s="6">
        <f t="shared" si="54"/>
        <v>2314.3338894966205</v>
      </c>
      <c r="U470" s="6">
        <f t="shared" si="55"/>
        <v>24.143338894966206</v>
      </c>
    </row>
    <row r="471" spans="1:21" x14ac:dyDescent="0.3">
      <c r="A471" s="2">
        <v>45699</v>
      </c>
      <c r="B471" t="s">
        <v>15</v>
      </c>
      <c r="C471" t="s">
        <v>20</v>
      </c>
      <c r="D471" t="s">
        <v>25</v>
      </c>
      <c r="E471" t="s">
        <v>28</v>
      </c>
      <c r="F471">
        <v>127232</v>
      </c>
      <c r="G471">
        <v>9034</v>
      </c>
      <c r="H471">
        <v>1736</v>
      </c>
      <c r="I471">
        <v>1112</v>
      </c>
      <c r="J471">
        <v>517</v>
      </c>
      <c r="K471" s="4">
        <v>111616.5</v>
      </c>
      <c r="L471" s="4">
        <v>3367905.35</v>
      </c>
      <c r="M471" t="s">
        <v>35</v>
      </c>
      <c r="N471">
        <f t="shared" si="49"/>
        <v>1</v>
      </c>
      <c r="O471" t="str">
        <f>IF(AND(G471&lt;=F471,H471&lt;=G471,I471&lt;=H471,J471&lt;=I471),"OK","Check")</f>
        <v>OK</v>
      </c>
      <c r="P471" s="6">
        <f t="shared" si="50"/>
        <v>7.1004149899396376</v>
      </c>
      <c r="Q471" s="6">
        <f t="shared" si="51"/>
        <v>19.216294000442772</v>
      </c>
      <c r="R471" s="6">
        <f t="shared" si="52"/>
        <v>64.055299539170505</v>
      </c>
      <c r="S471" s="6">
        <f t="shared" si="53"/>
        <v>46.492805755395686</v>
      </c>
      <c r="T471" s="6">
        <f t="shared" si="54"/>
        <v>2917.3902156043237</v>
      </c>
      <c r="U471" s="6">
        <f t="shared" si="55"/>
        <v>30.173902156043237</v>
      </c>
    </row>
    <row r="472" spans="1:21" x14ac:dyDescent="0.3">
      <c r="A472" s="2">
        <v>45700</v>
      </c>
      <c r="B472" t="s">
        <v>15</v>
      </c>
      <c r="C472" t="s">
        <v>20</v>
      </c>
      <c r="D472" t="s">
        <v>25</v>
      </c>
      <c r="E472" t="s">
        <v>29</v>
      </c>
      <c r="F472">
        <v>183701</v>
      </c>
      <c r="G472">
        <v>10838</v>
      </c>
      <c r="H472">
        <v>1745</v>
      </c>
      <c r="I472">
        <v>807</v>
      </c>
      <c r="J472">
        <v>469</v>
      </c>
      <c r="K472" s="4">
        <v>163799.75</v>
      </c>
      <c r="L472" s="4">
        <v>2978652.97</v>
      </c>
      <c r="M472" t="s">
        <v>31</v>
      </c>
      <c r="N472">
        <f t="shared" si="49"/>
        <v>1</v>
      </c>
      <c r="O472" t="str">
        <f>IF(AND(G472&lt;=F472,H472&lt;=G472,I472&lt;=H472,J472&lt;=I472),"OK","Check")</f>
        <v>OK</v>
      </c>
      <c r="P472" s="6">
        <f t="shared" si="50"/>
        <v>5.8998045737366702</v>
      </c>
      <c r="Q472" s="6">
        <f t="shared" si="51"/>
        <v>16.100756597158146</v>
      </c>
      <c r="R472" s="6">
        <f t="shared" si="52"/>
        <v>46.246418338108882</v>
      </c>
      <c r="S472" s="6">
        <f t="shared" si="53"/>
        <v>58.116480793060724</v>
      </c>
      <c r="T472" s="6">
        <f t="shared" si="54"/>
        <v>1718.4722321004763</v>
      </c>
      <c r="U472" s="6">
        <f t="shared" si="55"/>
        <v>18.184722321004763</v>
      </c>
    </row>
    <row r="473" spans="1:21" x14ac:dyDescent="0.3">
      <c r="A473" s="2">
        <v>45701</v>
      </c>
      <c r="B473" t="s">
        <v>15</v>
      </c>
      <c r="C473" t="s">
        <v>20</v>
      </c>
      <c r="D473" t="s">
        <v>25</v>
      </c>
      <c r="E473" t="s">
        <v>29</v>
      </c>
      <c r="F473">
        <v>61637</v>
      </c>
      <c r="G473">
        <v>4452</v>
      </c>
      <c r="H473">
        <v>790</v>
      </c>
      <c r="I473">
        <v>460</v>
      </c>
      <c r="J473">
        <v>264</v>
      </c>
      <c r="K473" s="4">
        <v>35763.230000000003</v>
      </c>
      <c r="L473" s="4">
        <v>1837127.99</v>
      </c>
      <c r="M473" t="s">
        <v>32</v>
      </c>
      <c r="N473">
        <f t="shared" si="49"/>
        <v>1</v>
      </c>
      <c r="O473" t="str">
        <f>IF(AND(G473&lt;=F473,H473&lt;=G473,I473&lt;=H473,J473&lt;=I473),"OK","Check")</f>
        <v>OK</v>
      </c>
      <c r="P473" s="6">
        <f t="shared" si="50"/>
        <v>7.2229342764897702</v>
      </c>
      <c r="Q473" s="6">
        <f t="shared" si="51"/>
        <v>17.744833782569632</v>
      </c>
      <c r="R473" s="6">
        <f t="shared" si="52"/>
        <v>58.22784810126582</v>
      </c>
      <c r="S473" s="6">
        <f t="shared" si="53"/>
        <v>57.391304347826086</v>
      </c>
      <c r="T473" s="6">
        <f t="shared" si="54"/>
        <v>5036.9185333651349</v>
      </c>
      <c r="U473" s="6">
        <f t="shared" si="55"/>
        <v>51.369185333651345</v>
      </c>
    </row>
    <row r="474" spans="1:21" x14ac:dyDescent="0.3">
      <c r="A474" s="2">
        <v>45702</v>
      </c>
      <c r="B474" t="s">
        <v>15</v>
      </c>
      <c r="C474" t="s">
        <v>20</v>
      </c>
      <c r="D474" t="s">
        <v>25</v>
      </c>
      <c r="E474" t="s">
        <v>29</v>
      </c>
      <c r="F474">
        <v>115475</v>
      </c>
      <c r="G474">
        <v>6434</v>
      </c>
      <c r="H474">
        <v>1594</v>
      </c>
      <c r="I474">
        <v>911</v>
      </c>
      <c r="J474">
        <v>456</v>
      </c>
      <c r="K474" s="4">
        <v>55074.85</v>
      </c>
      <c r="L474" s="4">
        <v>1536942.26</v>
      </c>
      <c r="M474" t="s">
        <v>35</v>
      </c>
      <c r="N474">
        <f t="shared" si="49"/>
        <v>1</v>
      </c>
      <c r="O474" t="str">
        <f>IF(AND(G474&lt;=F474,H474&lt;=G474,I474&lt;=H474,J474&lt;=I474),"OK","Check")</f>
        <v>OK</v>
      </c>
      <c r="P474" s="6">
        <f t="shared" si="50"/>
        <v>5.5717687811214551</v>
      </c>
      <c r="Q474" s="6">
        <f t="shared" si="51"/>
        <v>24.77463475287535</v>
      </c>
      <c r="R474" s="6">
        <f t="shared" si="52"/>
        <v>57.151819322459218</v>
      </c>
      <c r="S474" s="6">
        <f t="shared" si="53"/>
        <v>50.054884742041715</v>
      </c>
      <c r="T474" s="6">
        <f t="shared" si="54"/>
        <v>2690.6426617594052</v>
      </c>
      <c r="U474" s="6">
        <f t="shared" si="55"/>
        <v>27.906426617594057</v>
      </c>
    </row>
    <row r="475" spans="1:21" x14ac:dyDescent="0.3">
      <c r="A475" s="2">
        <v>45703</v>
      </c>
      <c r="B475" t="s">
        <v>15</v>
      </c>
      <c r="C475" t="s">
        <v>20</v>
      </c>
      <c r="D475" t="s">
        <v>25</v>
      </c>
      <c r="E475" t="s">
        <v>29</v>
      </c>
      <c r="F475">
        <v>242487</v>
      </c>
      <c r="G475">
        <v>10557</v>
      </c>
      <c r="H475">
        <v>1644</v>
      </c>
      <c r="I475">
        <v>940</v>
      </c>
      <c r="J475">
        <v>476</v>
      </c>
      <c r="K475" s="4">
        <v>137455.20000000001</v>
      </c>
      <c r="L475" s="4">
        <v>2658068.14</v>
      </c>
      <c r="M475" t="s">
        <v>33</v>
      </c>
      <c r="N475">
        <f t="shared" si="49"/>
        <v>1</v>
      </c>
      <c r="O475" t="str">
        <f>IF(AND(G475&lt;=F475,H475&lt;=G475,I475&lt;=H475,J475&lt;=I475),"OK","Check")</f>
        <v>OK</v>
      </c>
      <c r="P475" s="6">
        <f t="shared" si="50"/>
        <v>4.3536354526222025</v>
      </c>
      <c r="Q475" s="6">
        <f t="shared" si="51"/>
        <v>15.572605853935778</v>
      </c>
      <c r="R475" s="6">
        <f t="shared" si="52"/>
        <v>57.177615571776151</v>
      </c>
      <c r="S475" s="6">
        <f t="shared" si="53"/>
        <v>50.638297872340424</v>
      </c>
      <c r="T475" s="6">
        <f t="shared" si="54"/>
        <v>1833.7705230504191</v>
      </c>
      <c r="U475" s="6">
        <f t="shared" si="55"/>
        <v>19.337705230504191</v>
      </c>
    </row>
    <row r="476" spans="1:21" x14ac:dyDescent="0.3">
      <c r="A476" s="2">
        <v>45704</v>
      </c>
      <c r="B476" t="s">
        <v>15</v>
      </c>
      <c r="C476" t="s">
        <v>20</v>
      </c>
      <c r="D476" t="s">
        <v>25</v>
      </c>
      <c r="E476" t="s">
        <v>30</v>
      </c>
      <c r="F476">
        <v>236585</v>
      </c>
      <c r="G476">
        <v>7923</v>
      </c>
      <c r="H476">
        <v>1495</v>
      </c>
      <c r="I476">
        <v>848</v>
      </c>
      <c r="J476">
        <v>467</v>
      </c>
      <c r="K476" s="4">
        <v>129801.04</v>
      </c>
      <c r="L476" s="4">
        <v>3083695.93</v>
      </c>
      <c r="M476" t="s">
        <v>35</v>
      </c>
      <c r="N476">
        <f t="shared" si="49"/>
        <v>1</v>
      </c>
      <c r="O476" t="str">
        <f>IF(AND(G476&lt;=F476,H476&lt;=G476,I476&lt;=H476,J476&lt;=I476),"OK","Check")</f>
        <v>OK</v>
      </c>
      <c r="P476" s="6">
        <f t="shared" si="50"/>
        <v>3.3489020859310612</v>
      </c>
      <c r="Q476" s="6">
        <f t="shared" si="51"/>
        <v>18.869115234128486</v>
      </c>
      <c r="R476" s="6">
        <f t="shared" si="52"/>
        <v>56.722408026755858</v>
      </c>
      <c r="S476" s="6">
        <f t="shared" si="53"/>
        <v>55.070754716981128</v>
      </c>
      <c r="T476" s="6">
        <f t="shared" si="54"/>
        <v>2275.7097246678454</v>
      </c>
      <c r="U476" s="6">
        <f t="shared" si="55"/>
        <v>23.757097246678459</v>
      </c>
    </row>
    <row r="477" spans="1:21" x14ac:dyDescent="0.3">
      <c r="A477" s="2">
        <v>45705</v>
      </c>
      <c r="B477" t="s">
        <v>15</v>
      </c>
      <c r="C477" t="s">
        <v>20</v>
      </c>
      <c r="D477" t="s">
        <v>25</v>
      </c>
      <c r="E477" t="s">
        <v>28</v>
      </c>
      <c r="F477">
        <v>109605</v>
      </c>
      <c r="G477">
        <v>8284</v>
      </c>
      <c r="H477">
        <v>1935</v>
      </c>
      <c r="I477">
        <v>1132</v>
      </c>
      <c r="J477">
        <v>663</v>
      </c>
      <c r="K477" s="4">
        <v>61086.21</v>
      </c>
      <c r="L477" s="4">
        <v>2830034.76</v>
      </c>
      <c r="M477" t="s">
        <v>31</v>
      </c>
      <c r="N477">
        <f t="shared" si="49"/>
        <v>1</v>
      </c>
      <c r="O477" t="str">
        <f>IF(AND(G477&lt;=F477,H477&lt;=G477,I477&lt;=H477,J477&lt;=I477),"OK","Check")</f>
        <v>OK</v>
      </c>
      <c r="P477" s="6">
        <f t="shared" si="50"/>
        <v>7.5580493590620872</v>
      </c>
      <c r="Q477" s="6">
        <f t="shared" si="51"/>
        <v>23.358281023660069</v>
      </c>
      <c r="R477" s="6">
        <f t="shared" si="52"/>
        <v>58.501291989664082</v>
      </c>
      <c r="S477" s="6">
        <f t="shared" si="53"/>
        <v>58.56890459363958</v>
      </c>
      <c r="T477" s="6">
        <f t="shared" si="54"/>
        <v>4532.8537324545096</v>
      </c>
      <c r="U477" s="6">
        <f t="shared" si="55"/>
        <v>46.328537324545096</v>
      </c>
    </row>
    <row r="478" spans="1:21" x14ac:dyDescent="0.3">
      <c r="A478" s="2">
        <v>45706</v>
      </c>
      <c r="B478" t="s">
        <v>15</v>
      </c>
      <c r="C478" t="s">
        <v>20</v>
      </c>
      <c r="D478" t="s">
        <v>25</v>
      </c>
      <c r="E478" t="s">
        <v>29</v>
      </c>
      <c r="F478">
        <v>59185</v>
      </c>
      <c r="G478">
        <v>4390</v>
      </c>
      <c r="H478">
        <v>1044</v>
      </c>
      <c r="I478">
        <v>588</v>
      </c>
      <c r="J478">
        <v>283</v>
      </c>
      <c r="K478" s="4">
        <v>39767.599999999999</v>
      </c>
      <c r="L478" s="4">
        <v>1548093.27</v>
      </c>
      <c r="M478" t="s">
        <v>33</v>
      </c>
      <c r="N478">
        <f t="shared" si="49"/>
        <v>1</v>
      </c>
      <c r="O478" t="str">
        <f>IF(AND(G478&lt;=F478,H478&lt;=G478,I478&lt;=H478,J478&lt;=I478),"OK","Check")</f>
        <v>OK</v>
      </c>
      <c r="P478" s="6">
        <f t="shared" si="50"/>
        <v>7.4174199543803336</v>
      </c>
      <c r="Q478" s="6">
        <f t="shared" si="51"/>
        <v>23.781321184510251</v>
      </c>
      <c r="R478" s="6">
        <f t="shared" si="52"/>
        <v>56.321839080459768</v>
      </c>
      <c r="S478" s="6">
        <f t="shared" si="53"/>
        <v>48.129251700680271</v>
      </c>
      <c r="T478" s="6">
        <f t="shared" si="54"/>
        <v>3792.8506372021448</v>
      </c>
      <c r="U478" s="6">
        <f t="shared" si="55"/>
        <v>38.928506372021445</v>
      </c>
    </row>
    <row r="479" spans="1:21" x14ac:dyDescent="0.3">
      <c r="A479" s="2">
        <v>45707</v>
      </c>
      <c r="B479" t="s">
        <v>15</v>
      </c>
      <c r="C479" t="s">
        <v>20</v>
      </c>
      <c r="D479" t="s">
        <v>25</v>
      </c>
      <c r="E479" t="s">
        <v>29</v>
      </c>
      <c r="F479">
        <v>183593</v>
      </c>
      <c r="G479">
        <v>5650</v>
      </c>
      <c r="H479">
        <v>1015</v>
      </c>
      <c r="I479">
        <v>541</v>
      </c>
      <c r="J479">
        <v>288</v>
      </c>
      <c r="K479" s="4">
        <v>78874.38</v>
      </c>
      <c r="L479" s="4">
        <v>867564.82</v>
      </c>
      <c r="M479" t="s">
        <v>31</v>
      </c>
      <c r="N479">
        <f t="shared" si="49"/>
        <v>1</v>
      </c>
      <c r="O479" t="str">
        <f>IF(AND(G479&lt;=F479,H479&lt;=G479,I479&lt;=H479,J479&lt;=I479),"OK","Check")</f>
        <v>OK</v>
      </c>
      <c r="P479" s="6">
        <f t="shared" si="50"/>
        <v>3.077459380259596</v>
      </c>
      <c r="Q479" s="6">
        <f t="shared" si="51"/>
        <v>17.964601769911503</v>
      </c>
      <c r="R479" s="6">
        <f t="shared" si="52"/>
        <v>53.300492610837438</v>
      </c>
      <c r="S479" s="6">
        <f t="shared" si="53"/>
        <v>53.234750462107208</v>
      </c>
      <c r="T479" s="6">
        <f t="shared" si="54"/>
        <v>999.93234812115156</v>
      </c>
      <c r="U479" s="6">
        <f t="shared" si="55"/>
        <v>10.999323481211515</v>
      </c>
    </row>
    <row r="480" spans="1:21" x14ac:dyDescent="0.3">
      <c r="A480" s="2">
        <v>45708</v>
      </c>
      <c r="B480" t="s">
        <v>15</v>
      </c>
      <c r="C480" t="s">
        <v>20</v>
      </c>
      <c r="D480" t="s">
        <v>25</v>
      </c>
      <c r="E480" t="s">
        <v>28</v>
      </c>
      <c r="F480">
        <v>115658</v>
      </c>
      <c r="G480">
        <v>6141</v>
      </c>
      <c r="H480">
        <v>1182</v>
      </c>
      <c r="I480">
        <v>685</v>
      </c>
      <c r="J480">
        <v>302</v>
      </c>
      <c r="K480" s="4">
        <v>81667.73</v>
      </c>
      <c r="L480" s="4">
        <v>2031836.19</v>
      </c>
      <c r="M480" t="s">
        <v>32</v>
      </c>
      <c r="N480">
        <f t="shared" si="49"/>
        <v>1</v>
      </c>
      <c r="O480" t="str">
        <f>IF(AND(G480&lt;=F480,H480&lt;=G480,I480&lt;=H480,J480&lt;=I480),"OK","Check")</f>
        <v>OK</v>
      </c>
      <c r="P480" s="6">
        <f t="shared" si="50"/>
        <v>5.3096197409604171</v>
      </c>
      <c r="Q480" s="6">
        <f t="shared" si="51"/>
        <v>19.247679531021006</v>
      </c>
      <c r="R480" s="6">
        <f t="shared" si="52"/>
        <v>57.95262267343486</v>
      </c>
      <c r="S480" s="6">
        <f t="shared" si="53"/>
        <v>44.087591240875909</v>
      </c>
      <c r="T480" s="6">
        <f t="shared" si="54"/>
        <v>2387.9302877648247</v>
      </c>
      <c r="U480" s="6">
        <f t="shared" si="55"/>
        <v>24.879302877648247</v>
      </c>
    </row>
    <row r="481" spans="1:21" x14ac:dyDescent="0.3">
      <c r="A481" s="2">
        <v>45709</v>
      </c>
      <c r="B481" t="s">
        <v>15</v>
      </c>
      <c r="C481" t="s">
        <v>20</v>
      </c>
      <c r="D481" t="s">
        <v>25</v>
      </c>
      <c r="E481" t="s">
        <v>30</v>
      </c>
      <c r="F481">
        <v>125536</v>
      </c>
      <c r="G481">
        <v>6373</v>
      </c>
      <c r="H481">
        <v>1242</v>
      </c>
      <c r="I481">
        <v>763</v>
      </c>
      <c r="J481">
        <v>414</v>
      </c>
      <c r="K481" s="4">
        <v>81484.23</v>
      </c>
      <c r="L481" s="4">
        <v>3091570.59</v>
      </c>
      <c r="M481" t="s">
        <v>32</v>
      </c>
      <c r="N481">
        <f t="shared" si="49"/>
        <v>1</v>
      </c>
      <c r="O481" t="str">
        <f>IF(AND(G481&lt;=F481,H481&lt;=G481,I481&lt;=H481,J481&lt;=I481),"OK","Check")</f>
        <v>OK</v>
      </c>
      <c r="P481" s="6">
        <f t="shared" si="50"/>
        <v>5.076631404537344</v>
      </c>
      <c r="Q481" s="6">
        <f t="shared" si="51"/>
        <v>19.488466970029812</v>
      </c>
      <c r="R481" s="6">
        <f t="shared" si="52"/>
        <v>61.433172302737518</v>
      </c>
      <c r="S481" s="6">
        <f t="shared" si="53"/>
        <v>54.259501965923981</v>
      </c>
      <c r="T481" s="6">
        <f t="shared" si="54"/>
        <v>3694.0722885888467</v>
      </c>
      <c r="U481" s="6">
        <f t="shared" si="55"/>
        <v>37.940722885888469</v>
      </c>
    </row>
    <row r="482" spans="1:21" x14ac:dyDescent="0.3">
      <c r="A482" s="2">
        <v>45710</v>
      </c>
      <c r="B482" t="s">
        <v>15</v>
      </c>
      <c r="C482" t="s">
        <v>20</v>
      </c>
      <c r="D482" t="s">
        <v>25</v>
      </c>
      <c r="E482" t="s">
        <v>30</v>
      </c>
      <c r="F482">
        <v>279784</v>
      </c>
      <c r="G482">
        <v>19574</v>
      </c>
      <c r="H482">
        <v>4822</v>
      </c>
      <c r="I482">
        <v>2939</v>
      </c>
      <c r="J482">
        <v>1343</v>
      </c>
      <c r="K482" s="4">
        <v>143229.35</v>
      </c>
      <c r="L482" s="4">
        <v>6633392.3399999999</v>
      </c>
      <c r="M482" t="s">
        <v>33</v>
      </c>
      <c r="N482">
        <f t="shared" si="49"/>
        <v>1</v>
      </c>
      <c r="O482" t="str">
        <f>IF(AND(G482&lt;=F482,H482&lt;=G482,I482&lt;=H482,J482&lt;=I482),"OK","Check")</f>
        <v>OK</v>
      </c>
      <c r="P482" s="6">
        <f t="shared" si="50"/>
        <v>6.9961112858490839</v>
      </c>
      <c r="Q482" s="6">
        <f t="shared" si="51"/>
        <v>24.634719525901708</v>
      </c>
      <c r="R482" s="6">
        <f t="shared" si="52"/>
        <v>60.949813355454161</v>
      </c>
      <c r="S482" s="6">
        <f t="shared" si="53"/>
        <v>45.695814903028243</v>
      </c>
      <c r="T482" s="6">
        <f t="shared" si="54"/>
        <v>4531.3079965803099</v>
      </c>
      <c r="U482" s="6">
        <f t="shared" si="55"/>
        <v>46.313079965803098</v>
      </c>
    </row>
    <row r="483" spans="1:21" x14ac:dyDescent="0.3">
      <c r="A483" s="2">
        <v>45711</v>
      </c>
      <c r="B483" t="s">
        <v>15</v>
      </c>
      <c r="C483" t="s">
        <v>20</v>
      </c>
      <c r="D483" t="s">
        <v>25</v>
      </c>
      <c r="E483" t="s">
        <v>28</v>
      </c>
      <c r="F483">
        <v>141610</v>
      </c>
      <c r="G483">
        <v>8320</v>
      </c>
      <c r="H483">
        <v>1667</v>
      </c>
      <c r="I483">
        <v>1053</v>
      </c>
      <c r="J483">
        <v>595</v>
      </c>
      <c r="K483" s="4">
        <v>71547.48</v>
      </c>
      <c r="L483" s="4">
        <v>4297339.82</v>
      </c>
      <c r="M483" t="s">
        <v>32</v>
      </c>
      <c r="N483">
        <f t="shared" si="49"/>
        <v>1</v>
      </c>
      <c r="O483" t="str">
        <f>IF(AND(G483&lt;=F483,H483&lt;=G483,I483&lt;=H483,J483&lt;=I483),"OK","Check")</f>
        <v>OK</v>
      </c>
      <c r="P483" s="6">
        <f t="shared" si="50"/>
        <v>5.8752912929877832</v>
      </c>
      <c r="Q483" s="6">
        <f t="shared" si="51"/>
        <v>20.036057692307693</v>
      </c>
      <c r="R483" s="6">
        <f t="shared" si="52"/>
        <v>63.167366526694657</v>
      </c>
      <c r="S483" s="6">
        <f t="shared" si="53"/>
        <v>56.505223171889838</v>
      </c>
      <c r="T483" s="6">
        <f t="shared" si="54"/>
        <v>5906.2769785882047</v>
      </c>
      <c r="U483" s="6">
        <f t="shared" si="55"/>
        <v>60.062769785882054</v>
      </c>
    </row>
    <row r="484" spans="1:21" x14ac:dyDescent="0.3">
      <c r="A484" s="2">
        <v>45712</v>
      </c>
      <c r="B484" t="s">
        <v>15</v>
      </c>
      <c r="C484" t="s">
        <v>20</v>
      </c>
      <c r="D484" t="s">
        <v>25</v>
      </c>
      <c r="E484" t="s">
        <v>30</v>
      </c>
      <c r="F484">
        <v>145064</v>
      </c>
      <c r="G484">
        <v>7505</v>
      </c>
      <c r="H484">
        <v>1364</v>
      </c>
      <c r="I484">
        <v>661</v>
      </c>
      <c r="J484">
        <v>346</v>
      </c>
      <c r="K484" s="4">
        <v>74277.509999999995</v>
      </c>
      <c r="L484" s="4">
        <v>1181975.04</v>
      </c>
      <c r="M484" t="s">
        <v>32</v>
      </c>
      <c r="N484">
        <f t="shared" si="49"/>
        <v>1</v>
      </c>
      <c r="O484" t="str">
        <f>IF(AND(G484&lt;=F484,H484&lt;=G484,I484&lt;=H484,J484&lt;=I484),"OK","Check")</f>
        <v>OK</v>
      </c>
      <c r="P484" s="6">
        <f t="shared" si="50"/>
        <v>5.1735785584293827</v>
      </c>
      <c r="Q484" s="6">
        <f t="shared" si="51"/>
        <v>18.174550299800131</v>
      </c>
      <c r="R484" s="6">
        <f t="shared" si="52"/>
        <v>48.460410557184751</v>
      </c>
      <c r="S484" s="6">
        <f t="shared" si="53"/>
        <v>52.344931921331316</v>
      </c>
      <c r="T484" s="6">
        <f t="shared" si="54"/>
        <v>1491.2959925554856</v>
      </c>
      <c r="U484" s="6">
        <f t="shared" si="55"/>
        <v>15.912959925554857</v>
      </c>
    </row>
    <row r="485" spans="1:21" x14ac:dyDescent="0.3">
      <c r="A485" s="2">
        <v>45713</v>
      </c>
      <c r="B485" t="s">
        <v>15</v>
      </c>
      <c r="C485" t="s">
        <v>20</v>
      </c>
      <c r="D485" t="s">
        <v>25</v>
      </c>
      <c r="E485" t="s">
        <v>29</v>
      </c>
      <c r="F485">
        <v>298028</v>
      </c>
      <c r="G485">
        <v>20642</v>
      </c>
      <c r="H485">
        <v>4696</v>
      </c>
      <c r="I485">
        <v>2781</v>
      </c>
      <c r="J485">
        <v>1630</v>
      </c>
      <c r="K485" s="4">
        <v>284889.28000000003</v>
      </c>
      <c r="L485" s="4">
        <v>11577295.93</v>
      </c>
      <c r="M485" t="s">
        <v>35</v>
      </c>
      <c r="N485">
        <f t="shared" si="49"/>
        <v>1</v>
      </c>
      <c r="O485" t="str">
        <f>IF(AND(G485&lt;=F485,H485&lt;=G485,I485&lt;=H485,J485&lt;=I485),"OK","Check")</f>
        <v>OK</v>
      </c>
      <c r="P485" s="6">
        <f t="shared" si="50"/>
        <v>6.926194854174776</v>
      </c>
      <c r="Q485" s="6">
        <f t="shared" si="51"/>
        <v>22.749733552950296</v>
      </c>
      <c r="R485" s="6">
        <f t="shared" si="52"/>
        <v>59.220613287904598</v>
      </c>
      <c r="S485" s="6">
        <f t="shared" si="53"/>
        <v>58.61201006832075</v>
      </c>
      <c r="T485" s="6">
        <f t="shared" si="54"/>
        <v>3963.7878441758139</v>
      </c>
      <c r="U485" s="6">
        <f t="shared" si="55"/>
        <v>40.63787844175814</v>
      </c>
    </row>
    <row r="486" spans="1:21" x14ac:dyDescent="0.3">
      <c r="A486" s="2">
        <v>45714</v>
      </c>
      <c r="B486" t="s">
        <v>15</v>
      </c>
      <c r="C486" t="s">
        <v>20</v>
      </c>
      <c r="D486" t="s">
        <v>25</v>
      </c>
      <c r="E486" t="s">
        <v>28</v>
      </c>
      <c r="F486">
        <v>82925</v>
      </c>
      <c r="G486">
        <v>5003</v>
      </c>
      <c r="H486">
        <v>1088</v>
      </c>
      <c r="I486">
        <v>544</v>
      </c>
      <c r="J486">
        <v>317</v>
      </c>
      <c r="K486" s="4">
        <v>49214.3</v>
      </c>
      <c r="L486" s="4">
        <v>2410736.98</v>
      </c>
      <c r="M486" t="s">
        <v>35</v>
      </c>
      <c r="N486">
        <f t="shared" si="49"/>
        <v>1</v>
      </c>
      <c r="O486" t="str">
        <f>IF(AND(G486&lt;=F486,H486&lt;=G486,I486&lt;=H486,J486&lt;=I486),"OK","Check")</f>
        <v>OK</v>
      </c>
      <c r="P486" s="6">
        <f t="shared" si="50"/>
        <v>6.0331624962315349</v>
      </c>
      <c r="Q486" s="6">
        <f t="shared" si="51"/>
        <v>21.74695182890266</v>
      </c>
      <c r="R486" s="6">
        <f t="shared" si="52"/>
        <v>50</v>
      </c>
      <c r="S486" s="6">
        <f t="shared" si="53"/>
        <v>58.272058823529413</v>
      </c>
      <c r="T486" s="6">
        <f t="shared" si="54"/>
        <v>4798.4481746159145</v>
      </c>
      <c r="U486" s="6">
        <f t="shared" si="55"/>
        <v>48.98448174615914</v>
      </c>
    </row>
    <row r="487" spans="1:21" x14ac:dyDescent="0.3">
      <c r="A487" s="2">
        <v>45715</v>
      </c>
      <c r="B487" t="s">
        <v>15</v>
      </c>
      <c r="C487" t="s">
        <v>20</v>
      </c>
      <c r="D487" t="s">
        <v>25</v>
      </c>
      <c r="E487" t="s">
        <v>28</v>
      </c>
      <c r="F487">
        <v>113983</v>
      </c>
      <c r="G487">
        <v>4651</v>
      </c>
      <c r="H487">
        <v>940</v>
      </c>
      <c r="I487">
        <v>445</v>
      </c>
      <c r="J487">
        <v>184</v>
      </c>
      <c r="K487" s="4">
        <v>79830.66</v>
      </c>
      <c r="L487" s="4">
        <v>692151.2</v>
      </c>
      <c r="M487" t="s">
        <v>33</v>
      </c>
      <c r="N487">
        <f t="shared" si="49"/>
        <v>1</v>
      </c>
      <c r="O487" t="str">
        <f>IF(AND(G487&lt;=F487,H487&lt;=G487,I487&lt;=H487,J487&lt;=I487),"OK","Check")</f>
        <v>OK</v>
      </c>
      <c r="P487" s="6">
        <f t="shared" si="50"/>
        <v>4.0804330470333294</v>
      </c>
      <c r="Q487" s="6">
        <f t="shared" si="51"/>
        <v>20.210707374758115</v>
      </c>
      <c r="R487" s="6">
        <f t="shared" si="52"/>
        <v>47.340425531914896</v>
      </c>
      <c r="S487" s="6">
        <f t="shared" si="53"/>
        <v>41.348314606741567</v>
      </c>
      <c r="T487" s="6">
        <f t="shared" si="54"/>
        <v>767.02427363120864</v>
      </c>
      <c r="U487" s="6">
        <f t="shared" si="55"/>
        <v>8.6702427363120869</v>
      </c>
    </row>
    <row r="488" spans="1:21" x14ac:dyDescent="0.3">
      <c r="A488" s="2">
        <v>45716</v>
      </c>
      <c r="B488" t="s">
        <v>15</v>
      </c>
      <c r="C488" t="s">
        <v>20</v>
      </c>
      <c r="D488" t="s">
        <v>25</v>
      </c>
      <c r="E488" t="s">
        <v>30</v>
      </c>
      <c r="F488">
        <v>103093</v>
      </c>
      <c r="G488">
        <v>3235</v>
      </c>
      <c r="H488">
        <v>665</v>
      </c>
      <c r="I488">
        <v>347</v>
      </c>
      <c r="J488">
        <v>181</v>
      </c>
      <c r="K488" s="4">
        <v>70779.600000000006</v>
      </c>
      <c r="L488" s="4">
        <v>1258576.42</v>
      </c>
      <c r="M488" t="s">
        <v>33</v>
      </c>
      <c r="N488">
        <f t="shared" si="49"/>
        <v>1</v>
      </c>
      <c r="O488" t="str">
        <f>IF(AND(G488&lt;=F488,H488&lt;=G488,I488&lt;=H488,J488&lt;=I488),"OK","Check")</f>
        <v>OK</v>
      </c>
      <c r="P488" s="6">
        <f t="shared" si="50"/>
        <v>3.1379434103188384</v>
      </c>
      <c r="Q488" s="6">
        <f t="shared" si="51"/>
        <v>20.556414219474497</v>
      </c>
      <c r="R488" s="6">
        <f t="shared" si="52"/>
        <v>52.180451127819552</v>
      </c>
      <c r="S488" s="6">
        <f t="shared" si="53"/>
        <v>52.161383285302598</v>
      </c>
      <c r="T488" s="6">
        <f t="shared" si="54"/>
        <v>1678.1626626881189</v>
      </c>
      <c r="U488" s="6">
        <f t="shared" si="55"/>
        <v>17.781626626881188</v>
      </c>
    </row>
    <row r="489" spans="1:21" x14ac:dyDescent="0.3">
      <c r="A489" s="2">
        <v>45717</v>
      </c>
      <c r="B489" t="s">
        <v>15</v>
      </c>
      <c r="C489" t="s">
        <v>20</v>
      </c>
      <c r="D489" t="s">
        <v>25</v>
      </c>
      <c r="E489" t="s">
        <v>29</v>
      </c>
      <c r="F489">
        <v>53653</v>
      </c>
      <c r="G489">
        <v>2463</v>
      </c>
      <c r="H489">
        <v>459</v>
      </c>
      <c r="I489">
        <v>282</v>
      </c>
      <c r="J489">
        <v>149</v>
      </c>
      <c r="K489" s="4">
        <v>37104.879999999997</v>
      </c>
      <c r="L489" s="4">
        <v>1030118.97</v>
      </c>
      <c r="M489" t="s">
        <v>35</v>
      </c>
      <c r="N489">
        <f t="shared" si="49"/>
        <v>1</v>
      </c>
      <c r="O489" t="str">
        <f>IF(AND(G489&lt;=F489,H489&lt;=G489,I489&lt;=H489,J489&lt;=I489),"OK","Check")</f>
        <v>OK</v>
      </c>
      <c r="P489" s="6">
        <f t="shared" si="50"/>
        <v>4.590610031125939</v>
      </c>
      <c r="Q489" s="6">
        <f t="shared" si="51"/>
        <v>18.635809987819734</v>
      </c>
      <c r="R489" s="6">
        <f t="shared" si="52"/>
        <v>61.437908496732028</v>
      </c>
      <c r="S489" s="6">
        <f t="shared" si="53"/>
        <v>52.836879432624116</v>
      </c>
      <c r="T489" s="6">
        <f t="shared" si="54"/>
        <v>2676.2358212720269</v>
      </c>
      <c r="U489" s="6">
        <f t="shared" si="55"/>
        <v>27.762358212720269</v>
      </c>
    </row>
    <row r="490" spans="1:21" x14ac:dyDescent="0.3">
      <c r="A490" s="2">
        <v>45718</v>
      </c>
      <c r="B490" t="s">
        <v>15</v>
      </c>
      <c r="C490" t="s">
        <v>20</v>
      </c>
      <c r="D490" t="s">
        <v>25</v>
      </c>
      <c r="E490" t="s">
        <v>29</v>
      </c>
      <c r="F490">
        <v>231442</v>
      </c>
      <c r="G490">
        <v>13709</v>
      </c>
      <c r="H490">
        <v>2805</v>
      </c>
      <c r="I490">
        <v>1555</v>
      </c>
      <c r="J490">
        <v>749</v>
      </c>
      <c r="K490" s="4">
        <v>207424.01</v>
      </c>
      <c r="L490" s="4">
        <v>4028445.09</v>
      </c>
      <c r="M490" t="s">
        <v>34</v>
      </c>
      <c r="N490">
        <f t="shared" si="49"/>
        <v>1</v>
      </c>
      <c r="O490" t="str">
        <f>IF(AND(G490&lt;=F490,H490&lt;=G490,I490&lt;=H490,J490&lt;=I490),"OK","Check")</f>
        <v>OK</v>
      </c>
      <c r="P490" s="6">
        <f t="shared" si="50"/>
        <v>5.9232982777542542</v>
      </c>
      <c r="Q490" s="6">
        <f t="shared" si="51"/>
        <v>20.461011014661899</v>
      </c>
      <c r="R490" s="6">
        <f t="shared" si="52"/>
        <v>55.436720142602489</v>
      </c>
      <c r="S490" s="6">
        <f t="shared" si="53"/>
        <v>48.167202572347264</v>
      </c>
      <c r="T490" s="6">
        <f t="shared" si="54"/>
        <v>1842.1305614523603</v>
      </c>
      <c r="U490" s="6">
        <f t="shared" si="55"/>
        <v>19.4213056145236</v>
      </c>
    </row>
    <row r="491" spans="1:21" x14ac:dyDescent="0.3">
      <c r="A491" s="2">
        <v>45719</v>
      </c>
      <c r="B491" t="s">
        <v>15</v>
      </c>
      <c r="C491" t="s">
        <v>20</v>
      </c>
      <c r="D491" t="s">
        <v>25</v>
      </c>
      <c r="E491" t="s">
        <v>30</v>
      </c>
      <c r="F491">
        <v>134246</v>
      </c>
      <c r="G491">
        <v>8250</v>
      </c>
      <c r="H491">
        <v>1329</v>
      </c>
      <c r="I491">
        <v>727</v>
      </c>
      <c r="J491">
        <v>429</v>
      </c>
      <c r="K491" s="4">
        <v>78289.58</v>
      </c>
      <c r="L491" s="4">
        <v>2346719</v>
      </c>
      <c r="M491" t="s">
        <v>34</v>
      </c>
      <c r="N491">
        <f t="shared" si="49"/>
        <v>1</v>
      </c>
      <c r="O491" t="str">
        <f>IF(AND(G491&lt;=F491,H491&lt;=G491,I491&lt;=H491,J491&lt;=I491),"OK","Check")</f>
        <v>OK</v>
      </c>
      <c r="P491" s="6">
        <f t="shared" si="50"/>
        <v>6.1454345008417386</v>
      </c>
      <c r="Q491" s="6">
        <f t="shared" si="51"/>
        <v>16.109090909090909</v>
      </c>
      <c r="R491" s="6">
        <f t="shared" si="52"/>
        <v>54.702784048156502</v>
      </c>
      <c r="S491" s="6">
        <f t="shared" si="53"/>
        <v>59.009628610729024</v>
      </c>
      <c r="T491" s="6">
        <f t="shared" si="54"/>
        <v>2897.4857445907869</v>
      </c>
      <c r="U491" s="6">
        <f t="shared" si="55"/>
        <v>29.974857445907872</v>
      </c>
    </row>
    <row r="492" spans="1:21" x14ac:dyDescent="0.3">
      <c r="A492" s="2">
        <v>45720</v>
      </c>
      <c r="B492" t="s">
        <v>15</v>
      </c>
      <c r="C492" t="s">
        <v>20</v>
      </c>
      <c r="D492" t="s">
        <v>25</v>
      </c>
      <c r="E492" t="s">
        <v>29</v>
      </c>
      <c r="F492">
        <v>131176</v>
      </c>
      <c r="G492">
        <v>5409</v>
      </c>
      <c r="H492">
        <v>1273</v>
      </c>
      <c r="I492">
        <v>750</v>
      </c>
      <c r="J492">
        <v>449</v>
      </c>
      <c r="K492" s="4">
        <v>67190.070000000007</v>
      </c>
      <c r="L492" s="4">
        <v>3326521.1</v>
      </c>
      <c r="M492" t="s">
        <v>32</v>
      </c>
      <c r="N492">
        <f t="shared" si="49"/>
        <v>1</v>
      </c>
      <c r="O492" t="str">
        <f>IF(AND(G492&lt;=F492,H492&lt;=G492,I492&lt;=H492,J492&lt;=I492),"OK","Check")</f>
        <v>OK</v>
      </c>
      <c r="P492" s="6">
        <f t="shared" si="50"/>
        <v>4.123467707507471</v>
      </c>
      <c r="Q492" s="6">
        <f t="shared" si="51"/>
        <v>23.534849325198742</v>
      </c>
      <c r="R492" s="6">
        <f t="shared" si="52"/>
        <v>58.915946582875101</v>
      </c>
      <c r="S492" s="6">
        <f t="shared" si="53"/>
        <v>59.866666666666667</v>
      </c>
      <c r="T492" s="6">
        <f t="shared" si="54"/>
        <v>4850.9117939600301</v>
      </c>
      <c r="U492" s="6">
        <f t="shared" si="55"/>
        <v>49.509117939600294</v>
      </c>
    </row>
    <row r="493" spans="1:21" x14ac:dyDescent="0.3">
      <c r="A493" s="2">
        <v>45721</v>
      </c>
      <c r="B493" t="s">
        <v>15</v>
      </c>
      <c r="C493" t="s">
        <v>20</v>
      </c>
      <c r="D493" t="s">
        <v>25</v>
      </c>
      <c r="E493" t="s">
        <v>30</v>
      </c>
      <c r="F493">
        <v>75507</v>
      </c>
      <c r="G493">
        <v>4191</v>
      </c>
      <c r="H493">
        <v>800</v>
      </c>
      <c r="I493">
        <v>373</v>
      </c>
      <c r="J493">
        <v>220</v>
      </c>
      <c r="K493" s="4">
        <v>68079.25</v>
      </c>
      <c r="L493" s="4">
        <v>1653602.64</v>
      </c>
      <c r="M493" t="s">
        <v>32</v>
      </c>
      <c r="N493">
        <f t="shared" si="49"/>
        <v>1</v>
      </c>
      <c r="O493" t="str">
        <f>IF(AND(G493&lt;=F493,H493&lt;=G493,I493&lt;=H493,J493&lt;=I493),"OK","Check")</f>
        <v>OK</v>
      </c>
      <c r="P493" s="6">
        <f t="shared" si="50"/>
        <v>5.5504787635583455</v>
      </c>
      <c r="Q493" s="6">
        <f t="shared" si="51"/>
        <v>19.088523025530897</v>
      </c>
      <c r="R493" s="6">
        <f t="shared" si="52"/>
        <v>46.625</v>
      </c>
      <c r="S493" s="6">
        <f t="shared" si="53"/>
        <v>58.981233243967822</v>
      </c>
      <c r="T493" s="6">
        <f t="shared" si="54"/>
        <v>2328.937804103306</v>
      </c>
      <c r="U493" s="6">
        <f t="shared" si="55"/>
        <v>24.289378041033061</v>
      </c>
    </row>
    <row r="494" spans="1:21" x14ac:dyDescent="0.3">
      <c r="A494" s="2">
        <v>45722</v>
      </c>
      <c r="B494" t="s">
        <v>15</v>
      </c>
      <c r="C494" t="s">
        <v>20</v>
      </c>
      <c r="D494" t="s">
        <v>25</v>
      </c>
      <c r="E494" t="s">
        <v>28</v>
      </c>
      <c r="F494">
        <v>188977</v>
      </c>
      <c r="G494">
        <v>11714</v>
      </c>
      <c r="H494">
        <v>2647</v>
      </c>
      <c r="I494">
        <v>1690</v>
      </c>
      <c r="J494">
        <v>798</v>
      </c>
      <c r="K494" s="4">
        <v>113365.21</v>
      </c>
      <c r="L494" s="4">
        <v>5029867.79</v>
      </c>
      <c r="M494" t="s">
        <v>35</v>
      </c>
      <c r="N494">
        <f t="shared" si="49"/>
        <v>1</v>
      </c>
      <c r="O494" t="str">
        <f>IF(AND(G494&lt;=F494,H494&lt;=G494,I494&lt;=H494,J494&lt;=I494),"OK","Check")</f>
        <v>OK</v>
      </c>
      <c r="P494" s="6">
        <f t="shared" si="50"/>
        <v>6.1986379294834828</v>
      </c>
      <c r="Q494" s="6">
        <f t="shared" si="51"/>
        <v>22.596892607136759</v>
      </c>
      <c r="R494" s="6">
        <f t="shared" si="52"/>
        <v>63.845863241405368</v>
      </c>
      <c r="S494" s="6">
        <f t="shared" si="53"/>
        <v>47.218934911242606</v>
      </c>
      <c r="T494" s="6">
        <f t="shared" si="54"/>
        <v>4336.8707031019485</v>
      </c>
      <c r="U494" s="6">
        <f t="shared" si="55"/>
        <v>44.368707031019476</v>
      </c>
    </row>
    <row r="495" spans="1:21" x14ac:dyDescent="0.3">
      <c r="A495" s="2">
        <v>45723</v>
      </c>
      <c r="B495" t="s">
        <v>15</v>
      </c>
      <c r="C495" t="s">
        <v>20</v>
      </c>
      <c r="D495" t="s">
        <v>25</v>
      </c>
      <c r="E495" t="s">
        <v>28</v>
      </c>
      <c r="F495">
        <v>252677</v>
      </c>
      <c r="G495">
        <v>9888</v>
      </c>
      <c r="H495">
        <v>1997</v>
      </c>
      <c r="I495">
        <v>964</v>
      </c>
      <c r="J495">
        <v>578</v>
      </c>
      <c r="K495" s="4">
        <v>105630.8</v>
      </c>
      <c r="L495" s="4">
        <v>3700568.66</v>
      </c>
      <c r="M495" t="s">
        <v>33</v>
      </c>
      <c r="N495">
        <f t="shared" si="49"/>
        <v>1</v>
      </c>
      <c r="O495" t="str">
        <f>IF(AND(G495&lt;=F495,H495&lt;=G495,I495&lt;=H495,J495&lt;=I495),"OK","Check")</f>
        <v>OK</v>
      </c>
      <c r="P495" s="6">
        <f t="shared" si="50"/>
        <v>3.9132964219141435</v>
      </c>
      <c r="Q495" s="6">
        <f t="shared" si="51"/>
        <v>20.196197411003237</v>
      </c>
      <c r="R495" s="6">
        <f t="shared" si="52"/>
        <v>48.272408612919378</v>
      </c>
      <c r="S495" s="6">
        <f t="shared" si="53"/>
        <v>59.95850622406639</v>
      </c>
      <c r="T495" s="6">
        <f t="shared" si="54"/>
        <v>3403.3045854050142</v>
      </c>
      <c r="U495" s="6">
        <f t="shared" si="55"/>
        <v>35.033045854050144</v>
      </c>
    </row>
    <row r="496" spans="1:21" x14ac:dyDescent="0.3">
      <c r="A496" s="2">
        <v>45724</v>
      </c>
      <c r="B496" t="s">
        <v>15</v>
      </c>
      <c r="C496" t="s">
        <v>20</v>
      </c>
      <c r="D496" t="s">
        <v>25</v>
      </c>
      <c r="E496" t="s">
        <v>29</v>
      </c>
      <c r="F496">
        <v>146366</v>
      </c>
      <c r="G496">
        <v>8269</v>
      </c>
      <c r="H496">
        <v>1633</v>
      </c>
      <c r="I496">
        <v>979</v>
      </c>
      <c r="J496">
        <v>429</v>
      </c>
      <c r="K496" s="4">
        <v>108116.05</v>
      </c>
      <c r="L496" s="4">
        <v>2625145.2200000002</v>
      </c>
      <c r="M496" t="s">
        <v>35</v>
      </c>
      <c r="N496">
        <f t="shared" si="49"/>
        <v>1</v>
      </c>
      <c r="O496" t="str">
        <f>IF(AND(G496&lt;=F496,H496&lt;=G496,I496&lt;=H496,J496&lt;=I496),"OK","Check")</f>
        <v>OK</v>
      </c>
      <c r="P496" s="6">
        <f t="shared" si="50"/>
        <v>5.6495360944481643</v>
      </c>
      <c r="Q496" s="6">
        <f t="shared" si="51"/>
        <v>19.748458096505018</v>
      </c>
      <c r="R496" s="6">
        <f t="shared" si="52"/>
        <v>59.951010410287807</v>
      </c>
      <c r="S496" s="6">
        <f t="shared" si="53"/>
        <v>43.820224719101127</v>
      </c>
      <c r="T496" s="6">
        <f t="shared" si="54"/>
        <v>2328.0809556027993</v>
      </c>
      <c r="U496" s="6">
        <f t="shared" si="55"/>
        <v>24.280809556027993</v>
      </c>
    </row>
    <row r="497" spans="1:21" x14ac:dyDescent="0.3">
      <c r="A497" s="2">
        <v>45725</v>
      </c>
      <c r="B497" t="s">
        <v>15</v>
      </c>
      <c r="C497" t="s">
        <v>20</v>
      </c>
      <c r="D497" t="s">
        <v>25</v>
      </c>
      <c r="E497" t="s">
        <v>30</v>
      </c>
      <c r="F497">
        <v>134757</v>
      </c>
      <c r="G497">
        <v>6182</v>
      </c>
      <c r="H497">
        <v>1265</v>
      </c>
      <c r="I497">
        <v>682</v>
      </c>
      <c r="J497">
        <v>294</v>
      </c>
      <c r="K497" s="4">
        <v>74426.89</v>
      </c>
      <c r="L497" s="4">
        <v>1368570.59</v>
      </c>
      <c r="M497" t="s">
        <v>34</v>
      </c>
      <c r="N497">
        <f t="shared" si="49"/>
        <v>1</v>
      </c>
      <c r="O497" t="str">
        <f>IF(AND(G497&lt;=F497,H497&lt;=G497,I497&lt;=H497,J497&lt;=I497),"OK","Check")</f>
        <v>OK</v>
      </c>
      <c r="P497" s="6">
        <f t="shared" si="50"/>
        <v>4.5875167894803237</v>
      </c>
      <c r="Q497" s="6">
        <f t="shared" si="51"/>
        <v>20.462633451957295</v>
      </c>
      <c r="R497" s="6">
        <f t="shared" si="52"/>
        <v>53.913043478260867</v>
      </c>
      <c r="S497" s="6">
        <f t="shared" si="53"/>
        <v>43.10850439882698</v>
      </c>
      <c r="T497" s="6">
        <f t="shared" si="54"/>
        <v>1738.812007326922</v>
      </c>
      <c r="U497" s="6">
        <f t="shared" si="55"/>
        <v>18.388120073269217</v>
      </c>
    </row>
    <row r="498" spans="1:21" x14ac:dyDescent="0.3">
      <c r="A498" s="2">
        <v>45726</v>
      </c>
      <c r="B498" t="s">
        <v>15</v>
      </c>
      <c r="C498" t="s">
        <v>20</v>
      </c>
      <c r="D498" t="s">
        <v>25</v>
      </c>
      <c r="E498" t="s">
        <v>28</v>
      </c>
      <c r="F498">
        <v>258417</v>
      </c>
      <c r="G498">
        <v>18909</v>
      </c>
      <c r="H498">
        <v>4020</v>
      </c>
      <c r="I498">
        <v>2269</v>
      </c>
      <c r="J498">
        <v>1059</v>
      </c>
      <c r="K498" s="4">
        <v>140621.96</v>
      </c>
      <c r="L498" s="4">
        <v>7367765.46</v>
      </c>
      <c r="M498" t="s">
        <v>33</v>
      </c>
      <c r="N498">
        <f t="shared" si="49"/>
        <v>1</v>
      </c>
      <c r="O498" t="str">
        <f>IF(AND(G498&lt;=F498,H498&lt;=G498,I498&lt;=H498,J498&lt;=I498),"OK","Check")</f>
        <v>OK</v>
      </c>
      <c r="P498" s="6">
        <f t="shared" si="50"/>
        <v>7.3172430606345555</v>
      </c>
      <c r="Q498" s="6">
        <f t="shared" si="51"/>
        <v>21.259717594796129</v>
      </c>
      <c r="R498" s="6">
        <f t="shared" si="52"/>
        <v>56.442786069651739</v>
      </c>
      <c r="S498" s="6">
        <f t="shared" si="53"/>
        <v>46.672542970471575</v>
      </c>
      <c r="T498" s="6">
        <f t="shared" si="54"/>
        <v>5139.4131471357678</v>
      </c>
      <c r="U498" s="6">
        <f t="shared" si="55"/>
        <v>52.394131471357674</v>
      </c>
    </row>
    <row r="499" spans="1:21" x14ac:dyDescent="0.3">
      <c r="A499" s="2">
        <v>45727</v>
      </c>
      <c r="B499" t="s">
        <v>15</v>
      </c>
      <c r="C499" t="s">
        <v>20</v>
      </c>
      <c r="D499" t="s">
        <v>25</v>
      </c>
      <c r="E499" t="s">
        <v>28</v>
      </c>
      <c r="F499">
        <v>209874</v>
      </c>
      <c r="G499">
        <v>11904</v>
      </c>
      <c r="H499">
        <v>2886</v>
      </c>
      <c r="I499">
        <v>1634</v>
      </c>
      <c r="J499">
        <v>908</v>
      </c>
      <c r="K499" s="4">
        <v>156283.1</v>
      </c>
      <c r="L499" s="4">
        <v>4945752.5199999996</v>
      </c>
      <c r="M499" t="s">
        <v>31</v>
      </c>
      <c r="N499">
        <f t="shared" si="49"/>
        <v>1</v>
      </c>
      <c r="O499" t="str">
        <f>IF(AND(G499&lt;=F499,H499&lt;=G499,I499&lt;=H499,J499&lt;=I499),"OK","Check")</f>
        <v>OK</v>
      </c>
      <c r="P499" s="6">
        <f t="shared" si="50"/>
        <v>5.6719746133394322</v>
      </c>
      <c r="Q499" s="6">
        <f t="shared" si="51"/>
        <v>24.243951612903224</v>
      </c>
      <c r="R499" s="6">
        <f t="shared" si="52"/>
        <v>56.618156618156625</v>
      </c>
      <c r="S499" s="6">
        <f t="shared" si="53"/>
        <v>55.569155446756426</v>
      </c>
      <c r="T499" s="6">
        <f t="shared" si="54"/>
        <v>3064.611221558825</v>
      </c>
      <c r="U499" s="6">
        <f t="shared" si="55"/>
        <v>31.646112215588246</v>
      </c>
    </row>
    <row r="500" spans="1:21" x14ac:dyDescent="0.3">
      <c r="A500" s="2">
        <v>45728</v>
      </c>
      <c r="B500" t="s">
        <v>15</v>
      </c>
      <c r="C500" t="s">
        <v>20</v>
      </c>
      <c r="D500" t="s">
        <v>25</v>
      </c>
      <c r="E500" t="s">
        <v>29</v>
      </c>
      <c r="F500">
        <v>142999</v>
      </c>
      <c r="G500">
        <v>4752</v>
      </c>
      <c r="H500">
        <v>762</v>
      </c>
      <c r="I500">
        <v>444</v>
      </c>
      <c r="J500">
        <v>200</v>
      </c>
      <c r="K500" s="4">
        <v>92318.66</v>
      </c>
      <c r="L500" s="4">
        <v>795253.41</v>
      </c>
      <c r="M500" t="s">
        <v>31</v>
      </c>
      <c r="N500">
        <f t="shared" si="49"/>
        <v>1</v>
      </c>
      <c r="O500" t="str">
        <f>IF(AND(G500&lt;=F500,H500&lt;=G500,I500&lt;=H500,J500&lt;=I500),"OK","Check")</f>
        <v>OK</v>
      </c>
      <c r="P500" s="6">
        <f t="shared" si="50"/>
        <v>3.3231001615395912</v>
      </c>
      <c r="Q500" s="6">
        <f t="shared" si="51"/>
        <v>16.035353535353536</v>
      </c>
      <c r="R500" s="6">
        <f t="shared" si="52"/>
        <v>58.267716535433067</v>
      </c>
      <c r="S500" s="6">
        <f t="shared" si="53"/>
        <v>45.045045045045043</v>
      </c>
      <c r="T500" s="6">
        <f t="shared" si="54"/>
        <v>761.42217618843256</v>
      </c>
      <c r="U500" s="6">
        <f t="shared" si="55"/>
        <v>8.6142217618843251</v>
      </c>
    </row>
    <row r="501" spans="1:21" x14ac:dyDescent="0.3">
      <c r="A501" s="2">
        <v>45729</v>
      </c>
      <c r="B501" t="s">
        <v>15</v>
      </c>
      <c r="C501" t="s">
        <v>20</v>
      </c>
      <c r="D501" t="s">
        <v>25</v>
      </c>
      <c r="E501" t="s">
        <v>29</v>
      </c>
      <c r="F501">
        <v>250958</v>
      </c>
      <c r="G501">
        <v>19914</v>
      </c>
      <c r="H501">
        <v>4316</v>
      </c>
      <c r="I501">
        <v>2505</v>
      </c>
      <c r="J501">
        <v>1303</v>
      </c>
      <c r="K501" s="4">
        <v>101670.82</v>
      </c>
      <c r="L501" s="4">
        <v>4200194.37</v>
      </c>
      <c r="M501" t="s">
        <v>31</v>
      </c>
      <c r="N501">
        <f t="shared" si="49"/>
        <v>1</v>
      </c>
      <c r="O501" t="str">
        <f>IF(AND(G501&lt;=F501,H501&lt;=G501,I501&lt;=H501,J501&lt;=I501),"OK","Check")</f>
        <v>OK</v>
      </c>
      <c r="P501" s="6">
        <f t="shared" si="50"/>
        <v>7.9351923429418463</v>
      </c>
      <c r="Q501" s="6">
        <f t="shared" si="51"/>
        <v>21.673194737370693</v>
      </c>
      <c r="R501" s="6">
        <f t="shared" si="52"/>
        <v>58.039851714550508</v>
      </c>
      <c r="S501" s="6">
        <f t="shared" si="53"/>
        <v>52.015968063872251</v>
      </c>
      <c r="T501" s="6">
        <f t="shared" si="54"/>
        <v>4031.1699561388409</v>
      </c>
      <c r="U501" s="6">
        <f t="shared" si="55"/>
        <v>41.311699561388409</v>
      </c>
    </row>
    <row r="502" spans="1:21" x14ac:dyDescent="0.3">
      <c r="A502" s="2">
        <v>45730</v>
      </c>
      <c r="B502" t="s">
        <v>15</v>
      </c>
      <c r="C502" t="s">
        <v>20</v>
      </c>
      <c r="D502" t="s">
        <v>25</v>
      </c>
      <c r="E502" t="s">
        <v>28</v>
      </c>
      <c r="F502">
        <v>286615</v>
      </c>
      <c r="G502">
        <v>14860</v>
      </c>
      <c r="H502">
        <v>3405</v>
      </c>
      <c r="I502">
        <v>1582</v>
      </c>
      <c r="J502">
        <v>809</v>
      </c>
      <c r="K502" s="4">
        <v>174370.56</v>
      </c>
      <c r="L502" s="4">
        <v>6056441.3700000001</v>
      </c>
      <c r="M502" t="s">
        <v>33</v>
      </c>
      <c r="N502">
        <f t="shared" si="49"/>
        <v>1</v>
      </c>
      <c r="O502" t="str">
        <f>IF(AND(G502&lt;=F502,H502&lt;=G502,I502&lt;=H502,J502&lt;=I502),"OK","Check")</f>
        <v>OK</v>
      </c>
      <c r="P502" s="6">
        <f t="shared" si="50"/>
        <v>5.1846553739336745</v>
      </c>
      <c r="Q502" s="6">
        <f t="shared" si="51"/>
        <v>22.913862718707943</v>
      </c>
      <c r="R502" s="6">
        <f t="shared" si="52"/>
        <v>46.461086637298095</v>
      </c>
      <c r="S502" s="6">
        <f t="shared" si="53"/>
        <v>51.137800252844499</v>
      </c>
      <c r="T502" s="6">
        <f t="shared" si="54"/>
        <v>3373.3164646600899</v>
      </c>
      <c r="U502" s="6">
        <f t="shared" si="55"/>
        <v>34.733164646600898</v>
      </c>
    </row>
    <row r="503" spans="1:21" x14ac:dyDescent="0.3">
      <c r="A503" s="2">
        <v>45731</v>
      </c>
      <c r="B503" t="s">
        <v>15</v>
      </c>
      <c r="C503" t="s">
        <v>20</v>
      </c>
      <c r="D503" t="s">
        <v>25</v>
      </c>
      <c r="E503" t="s">
        <v>29</v>
      </c>
      <c r="F503">
        <v>184520</v>
      </c>
      <c r="G503">
        <v>9112</v>
      </c>
      <c r="H503">
        <v>2248</v>
      </c>
      <c r="I503">
        <v>1022</v>
      </c>
      <c r="J503">
        <v>476</v>
      </c>
      <c r="K503" s="4">
        <v>93561.23</v>
      </c>
      <c r="L503" s="4">
        <v>2941652.56</v>
      </c>
      <c r="M503" t="s">
        <v>33</v>
      </c>
      <c r="N503">
        <f t="shared" si="49"/>
        <v>1</v>
      </c>
      <c r="O503" t="str">
        <f>IF(AND(G503&lt;=F503,H503&lt;=G503,I503&lt;=H503,J503&lt;=I503),"OK","Check")</f>
        <v>OK</v>
      </c>
      <c r="P503" s="6">
        <f t="shared" si="50"/>
        <v>4.9382180793409924</v>
      </c>
      <c r="Q503" s="6">
        <f t="shared" si="51"/>
        <v>24.670763827919227</v>
      </c>
      <c r="R503" s="6">
        <f t="shared" si="52"/>
        <v>45.462633451957295</v>
      </c>
      <c r="S503" s="6">
        <f t="shared" si="53"/>
        <v>46.575342465753423</v>
      </c>
      <c r="T503" s="6">
        <f t="shared" si="54"/>
        <v>3044.0935096727567</v>
      </c>
      <c r="U503" s="6">
        <f t="shared" si="55"/>
        <v>31.440935096727568</v>
      </c>
    </row>
    <row r="504" spans="1:21" x14ac:dyDescent="0.3">
      <c r="A504" s="2">
        <v>45732</v>
      </c>
      <c r="B504" t="s">
        <v>15</v>
      </c>
      <c r="C504" t="s">
        <v>20</v>
      </c>
      <c r="D504" t="s">
        <v>25</v>
      </c>
      <c r="E504" t="s">
        <v>28</v>
      </c>
      <c r="F504">
        <v>143329</v>
      </c>
      <c r="G504">
        <v>8242</v>
      </c>
      <c r="H504">
        <v>2029</v>
      </c>
      <c r="I504">
        <v>1135</v>
      </c>
      <c r="J504">
        <v>533</v>
      </c>
      <c r="K504" s="4">
        <v>135105.23000000001</v>
      </c>
      <c r="L504" s="4">
        <v>2328047.63</v>
      </c>
      <c r="M504" t="s">
        <v>31</v>
      </c>
      <c r="N504">
        <f t="shared" si="49"/>
        <v>1</v>
      </c>
      <c r="O504" t="str">
        <f>IF(AND(G504&lt;=F504,H504&lt;=G504,I504&lt;=H504,J504&lt;=I504),"OK","Check")</f>
        <v>OK</v>
      </c>
      <c r="P504" s="6">
        <f t="shared" si="50"/>
        <v>5.7504064076355794</v>
      </c>
      <c r="Q504" s="6">
        <f t="shared" si="51"/>
        <v>24.61781121087115</v>
      </c>
      <c r="R504" s="6">
        <f t="shared" si="52"/>
        <v>55.938886150813204</v>
      </c>
      <c r="S504" s="6">
        <f t="shared" si="53"/>
        <v>46.960352422907484</v>
      </c>
      <c r="T504" s="6">
        <f t="shared" si="54"/>
        <v>1623.1365728773046</v>
      </c>
      <c r="U504" s="6">
        <f t="shared" si="55"/>
        <v>17.231365728773042</v>
      </c>
    </row>
    <row r="505" spans="1:21" x14ac:dyDescent="0.3">
      <c r="A505" s="2">
        <v>45733</v>
      </c>
      <c r="B505" t="s">
        <v>15</v>
      </c>
      <c r="C505" t="s">
        <v>20</v>
      </c>
      <c r="D505" t="s">
        <v>25</v>
      </c>
      <c r="E505" t="s">
        <v>29</v>
      </c>
      <c r="F505">
        <v>265195</v>
      </c>
      <c r="G505">
        <v>10327</v>
      </c>
      <c r="H505">
        <v>2049</v>
      </c>
      <c r="I505">
        <v>1182</v>
      </c>
      <c r="J505">
        <v>589</v>
      </c>
      <c r="K505" s="4">
        <v>179628.87</v>
      </c>
      <c r="L505" s="4">
        <v>4703747.8</v>
      </c>
      <c r="M505" t="s">
        <v>32</v>
      </c>
      <c r="N505">
        <f t="shared" si="49"/>
        <v>1</v>
      </c>
      <c r="O505" t="str">
        <f>IF(AND(G505&lt;=F505,H505&lt;=G505,I505&lt;=H505,J505&lt;=I505),"OK","Check")</f>
        <v>OK</v>
      </c>
      <c r="P505" s="6">
        <f t="shared" si="50"/>
        <v>3.8941156507475627</v>
      </c>
      <c r="Q505" s="6">
        <f t="shared" si="51"/>
        <v>19.841192989251478</v>
      </c>
      <c r="R505" s="6">
        <f t="shared" si="52"/>
        <v>57.686676427525619</v>
      </c>
      <c r="S505" s="6">
        <f t="shared" si="53"/>
        <v>49.830795262267344</v>
      </c>
      <c r="T505" s="6">
        <f t="shared" si="54"/>
        <v>2518.5923231605252</v>
      </c>
      <c r="U505" s="6">
        <f t="shared" si="55"/>
        <v>26.185923231605255</v>
      </c>
    </row>
    <row r="506" spans="1:21" x14ac:dyDescent="0.3">
      <c r="A506" s="2">
        <v>45734</v>
      </c>
      <c r="B506" t="s">
        <v>15</v>
      </c>
      <c r="C506" t="s">
        <v>20</v>
      </c>
      <c r="D506" t="s">
        <v>25</v>
      </c>
      <c r="E506" t="s">
        <v>29</v>
      </c>
      <c r="F506">
        <v>122661</v>
      </c>
      <c r="G506">
        <v>9777</v>
      </c>
      <c r="H506">
        <v>2435</v>
      </c>
      <c r="I506">
        <v>1113</v>
      </c>
      <c r="J506">
        <v>594</v>
      </c>
      <c r="K506" s="4">
        <v>87088.41</v>
      </c>
      <c r="L506" s="4">
        <v>4550062.67</v>
      </c>
      <c r="M506" t="s">
        <v>32</v>
      </c>
      <c r="N506">
        <f t="shared" si="49"/>
        <v>1</v>
      </c>
      <c r="O506" t="str">
        <f>IF(AND(G506&lt;=F506,H506&lt;=G506,I506&lt;=H506,J506&lt;=I506),"OK","Check")</f>
        <v>OK</v>
      </c>
      <c r="P506" s="6">
        <f t="shared" si="50"/>
        <v>7.9707486487147508</v>
      </c>
      <c r="Q506" s="6">
        <f t="shared" si="51"/>
        <v>24.905390201493301</v>
      </c>
      <c r="R506" s="6">
        <f t="shared" si="52"/>
        <v>45.708418891170432</v>
      </c>
      <c r="S506" s="6">
        <f t="shared" si="53"/>
        <v>53.36927223719676</v>
      </c>
      <c r="T506" s="6">
        <f t="shared" si="54"/>
        <v>5124.647768859254</v>
      </c>
      <c r="U506" s="6">
        <f t="shared" si="55"/>
        <v>52.246477688592542</v>
      </c>
    </row>
    <row r="507" spans="1:21" x14ac:dyDescent="0.3">
      <c r="A507" s="2">
        <v>45735</v>
      </c>
      <c r="B507" t="s">
        <v>15</v>
      </c>
      <c r="C507" t="s">
        <v>20</v>
      </c>
      <c r="D507" t="s">
        <v>25</v>
      </c>
      <c r="E507" t="s">
        <v>30</v>
      </c>
      <c r="F507">
        <v>256063</v>
      </c>
      <c r="G507">
        <v>19097</v>
      </c>
      <c r="H507">
        <v>2939</v>
      </c>
      <c r="I507">
        <v>1547</v>
      </c>
      <c r="J507">
        <v>914</v>
      </c>
      <c r="K507" s="4">
        <v>201254.06</v>
      </c>
      <c r="L507" s="4">
        <v>5172875.5</v>
      </c>
      <c r="M507" t="s">
        <v>35</v>
      </c>
      <c r="N507">
        <f t="shared" si="49"/>
        <v>1</v>
      </c>
      <c r="O507" t="str">
        <f>IF(AND(G507&lt;=F507,H507&lt;=G507,I507&lt;=H507,J507&lt;=I507),"OK","Check")</f>
        <v>OK</v>
      </c>
      <c r="P507" s="6">
        <f t="shared" si="50"/>
        <v>7.4579302749713943</v>
      </c>
      <c r="Q507" s="6">
        <f t="shared" si="51"/>
        <v>15.389851809184687</v>
      </c>
      <c r="R507" s="6">
        <f t="shared" si="52"/>
        <v>52.636951343994554</v>
      </c>
      <c r="S507" s="6">
        <f t="shared" si="53"/>
        <v>59.082094376212027</v>
      </c>
      <c r="T507" s="6">
        <f t="shared" si="54"/>
        <v>2470.3210658209832</v>
      </c>
      <c r="U507" s="6">
        <f t="shared" si="55"/>
        <v>25.703210658209827</v>
      </c>
    </row>
    <row r="508" spans="1:21" x14ac:dyDescent="0.3">
      <c r="A508" s="2">
        <v>45736</v>
      </c>
      <c r="B508" t="s">
        <v>15</v>
      </c>
      <c r="C508" t="s">
        <v>20</v>
      </c>
      <c r="D508" t="s">
        <v>25</v>
      </c>
      <c r="E508" t="s">
        <v>28</v>
      </c>
      <c r="F508">
        <v>107546</v>
      </c>
      <c r="G508">
        <v>4153</v>
      </c>
      <c r="H508">
        <v>907</v>
      </c>
      <c r="I508">
        <v>465</v>
      </c>
      <c r="J508">
        <v>194</v>
      </c>
      <c r="K508" s="4">
        <v>97757.51</v>
      </c>
      <c r="L508" s="4">
        <v>602706.81000000006</v>
      </c>
      <c r="M508" t="s">
        <v>34</v>
      </c>
      <c r="N508">
        <f t="shared" si="49"/>
        <v>1</v>
      </c>
      <c r="O508" t="str">
        <f>IF(AND(G508&lt;=F508,H508&lt;=G508,I508&lt;=H508,J508&lt;=I508),"OK","Check")</f>
        <v>OK</v>
      </c>
      <c r="P508" s="6">
        <f t="shared" si="50"/>
        <v>3.8616034069142504</v>
      </c>
      <c r="Q508" s="6">
        <f t="shared" si="51"/>
        <v>21.839633999518419</v>
      </c>
      <c r="R508" s="6">
        <f t="shared" si="52"/>
        <v>51.267916207276734</v>
      </c>
      <c r="S508" s="6">
        <f t="shared" si="53"/>
        <v>41.72043010752688</v>
      </c>
      <c r="T508" s="6">
        <f t="shared" si="54"/>
        <v>516.53248942204038</v>
      </c>
      <c r="U508" s="6">
        <f t="shared" si="55"/>
        <v>6.1653248942204044</v>
      </c>
    </row>
    <row r="509" spans="1:21" x14ac:dyDescent="0.3">
      <c r="A509" s="2">
        <v>45737</v>
      </c>
      <c r="B509" t="s">
        <v>15</v>
      </c>
      <c r="C509" t="s">
        <v>20</v>
      </c>
      <c r="D509" t="s">
        <v>25</v>
      </c>
      <c r="E509" t="s">
        <v>30</v>
      </c>
      <c r="F509">
        <v>171811</v>
      </c>
      <c r="G509">
        <v>7500</v>
      </c>
      <c r="H509">
        <v>1283</v>
      </c>
      <c r="I509">
        <v>812</v>
      </c>
      <c r="J509">
        <v>351</v>
      </c>
      <c r="K509" s="4">
        <v>97292.61</v>
      </c>
      <c r="L509" s="4">
        <v>2485360.11</v>
      </c>
      <c r="M509" t="s">
        <v>31</v>
      </c>
      <c r="N509">
        <f t="shared" si="49"/>
        <v>1</v>
      </c>
      <c r="O509" t="str">
        <f>IF(AND(G509&lt;=F509,H509&lt;=G509,I509&lt;=H509,J509&lt;=I509),"OK","Check")</f>
        <v>OK</v>
      </c>
      <c r="P509" s="6">
        <f t="shared" si="50"/>
        <v>4.3652618284044671</v>
      </c>
      <c r="Q509" s="6">
        <f t="shared" si="51"/>
        <v>17.106666666666666</v>
      </c>
      <c r="R509" s="6">
        <f t="shared" si="52"/>
        <v>63.289166017147316</v>
      </c>
      <c r="S509" s="6">
        <f t="shared" si="53"/>
        <v>43.226600985221673</v>
      </c>
      <c r="T509" s="6">
        <f t="shared" si="54"/>
        <v>2454.5209548803346</v>
      </c>
      <c r="U509" s="6">
        <f t="shared" si="55"/>
        <v>25.545209548803346</v>
      </c>
    </row>
    <row r="510" spans="1:21" x14ac:dyDescent="0.3">
      <c r="A510" s="2">
        <v>45738</v>
      </c>
      <c r="B510" t="s">
        <v>15</v>
      </c>
      <c r="C510" t="s">
        <v>20</v>
      </c>
      <c r="D510" t="s">
        <v>25</v>
      </c>
      <c r="E510" t="s">
        <v>30</v>
      </c>
      <c r="F510">
        <v>299755</v>
      </c>
      <c r="G510">
        <v>10495</v>
      </c>
      <c r="H510">
        <v>1933</v>
      </c>
      <c r="I510">
        <v>948</v>
      </c>
      <c r="J510">
        <v>547</v>
      </c>
      <c r="K510" s="4">
        <v>136254.79</v>
      </c>
      <c r="L510" s="4">
        <v>3682668.74</v>
      </c>
      <c r="M510" t="s">
        <v>35</v>
      </c>
      <c r="N510">
        <f t="shared" si="49"/>
        <v>1</v>
      </c>
      <c r="O510" t="str">
        <f>IF(AND(G510&lt;=F510,H510&lt;=G510,I510&lt;=H510,J510&lt;=I510),"OK","Check")</f>
        <v>OK</v>
      </c>
      <c r="P510" s="6">
        <f t="shared" si="50"/>
        <v>3.5011926406565363</v>
      </c>
      <c r="Q510" s="6">
        <f t="shared" si="51"/>
        <v>18.418294425917104</v>
      </c>
      <c r="R510" s="6">
        <f t="shared" si="52"/>
        <v>49.042938437661668</v>
      </c>
      <c r="S510" s="6">
        <f t="shared" si="53"/>
        <v>57.700421940928273</v>
      </c>
      <c r="T510" s="6">
        <f t="shared" si="54"/>
        <v>2602.7811205756511</v>
      </c>
      <c r="U510" s="6">
        <f t="shared" si="55"/>
        <v>27.02781120575651</v>
      </c>
    </row>
    <row r="511" spans="1:21" x14ac:dyDescent="0.3">
      <c r="A511" s="2">
        <v>45739</v>
      </c>
      <c r="B511" t="s">
        <v>15</v>
      </c>
      <c r="C511" t="s">
        <v>20</v>
      </c>
      <c r="D511" t="s">
        <v>25</v>
      </c>
      <c r="E511" t="s">
        <v>30</v>
      </c>
      <c r="F511">
        <v>196757</v>
      </c>
      <c r="G511">
        <v>9869</v>
      </c>
      <c r="H511">
        <v>2126</v>
      </c>
      <c r="I511">
        <v>1008</v>
      </c>
      <c r="J511">
        <v>595</v>
      </c>
      <c r="K511" s="4">
        <v>188439.06</v>
      </c>
      <c r="L511" s="4">
        <v>4032011.13</v>
      </c>
      <c r="M511" t="s">
        <v>33</v>
      </c>
      <c r="N511">
        <f t="shared" si="49"/>
        <v>1</v>
      </c>
      <c r="O511" t="str">
        <f>IF(AND(G511&lt;=F511,H511&lt;=G511,I511&lt;=H511,J511&lt;=I511),"OK","Check")</f>
        <v>OK</v>
      </c>
      <c r="P511" s="6">
        <f t="shared" si="50"/>
        <v>5.0158317111970598</v>
      </c>
      <c r="Q511" s="6">
        <f t="shared" si="51"/>
        <v>21.542202857432365</v>
      </c>
      <c r="R511" s="6">
        <f t="shared" si="52"/>
        <v>47.412982126058324</v>
      </c>
      <c r="S511" s="6">
        <f t="shared" si="53"/>
        <v>59.027777777777779</v>
      </c>
      <c r="T511" s="6">
        <f t="shared" si="54"/>
        <v>2039.6896853550427</v>
      </c>
      <c r="U511" s="6">
        <f t="shared" si="55"/>
        <v>21.396896853550427</v>
      </c>
    </row>
    <row r="512" spans="1:21" x14ac:dyDescent="0.3">
      <c r="A512" s="2">
        <v>45740</v>
      </c>
      <c r="B512" t="s">
        <v>15</v>
      </c>
      <c r="C512" t="s">
        <v>20</v>
      </c>
      <c r="D512" t="s">
        <v>25</v>
      </c>
      <c r="E512" t="s">
        <v>28</v>
      </c>
      <c r="F512">
        <v>99084</v>
      </c>
      <c r="G512">
        <v>7882</v>
      </c>
      <c r="H512">
        <v>1585</v>
      </c>
      <c r="I512">
        <v>875</v>
      </c>
      <c r="J512">
        <v>446</v>
      </c>
      <c r="K512" s="4">
        <v>56260.32</v>
      </c>
      <c r="L512" s="4">
        <v>3403228.57</v>
      </c>
      <c r="M512" t="s">
        <v>31</v>
      </c>
      <c r="N512">
        <f t="shared" si="49"/>
        <v>1</v>
      </c>
      <c r="O512" t="str">
        <f>IF(AND(G512&lt;=F512,H512&lt;=G512,I512&lt;=H512,J512&lt;=I512),"OK","Check")</f>
        <v>OK</v>
      </c>
      <c r="P512" s="6">
        <f t="shared" si="50"/>
        <v>7.9548665778531342</v>
      </c>
      <c r="Q512" s="6">
        <f t="shared" si="51"/>
        <v>20.109109363105809</v>
      </c>
      <c r="R512" s="6">
        <f t="shared" si="52"/>
        <v>55.205047318611989</v>
      </c>
      <c r="S512" s="6">
        <f t="shared" si="53"/>
        <v>50.971428571428568</v>
      </c>
      <c r="T512" s="6">
        <f t="shared" si="54"/>
        <v>5949.0743209423617</v>
      </c>
      <c r="U512" s="6">
        <f t="shared" si="55"/>
        <v>60.49074320942362</v>
      </c>
    </row>
    <row r="513" spans="1:21" x14ac:dyDescent="0.3">
      <c r="A513" s="2">
        <v>45741</v>
      </c>
      <c r="B513" t="s">
        <v>15</v>
      </c>
      <c r="C513" t="s">
        <v>20</v>
      </c>
      <c r="D513" t="s">
        <v>25</v>
      </c>
      <c r="E513" t="s">
        <v>28</v>
      </c>
      <c r="F513">
        <v>151038</v>
      </c>
      <c r="G513">
        <v>4667</v>
      </c>
      <c r="H513">
        <v>856</v>
      </c>
      <c r="I513">
        <v>417</v>
      </c>
      <c r="J513">
        <v>238</v>
      </c>
      <c r="K513" s="4">
        <v>81008.289999999994</v>
      </c>
      <c r="L513" s="4">
        <v>1443400.51</v>
      </c>
      <c r="M513" t="s">
        <v>31</v>
      </c>
      <c r="N513">
        <f t="shared" si="49"/>
        <v>1</v>
      </c>
      <c r="O513" t="str">
        <f>IF(AND(G513&lt;=F513,H513&lt;=G513,I513&lt;=H513,J513&lt;=I513),"OK","Check")</f>
        <v>OK</v>
      </c>
      <c r="P513" s="6">
        <f t="shared" si="50"/>
        <v>3.0899508732901655</v>
      </c>
      <c r="Q513" s="6">
        <f t="shared" si="51"/>
        <v>18.341547032354832</v>
      </c>
      <c r="R513" s="6">
        <f t="shared" si="52"/>
        <v>48.714953271028037</v>
      </c>
      <c r="S513" s="6">
        <f t="shared" si="53"/>
        <v>57.074340527577938</v>
      </c>
      <c r="T513" s="6">
        <f t="shared" si="54"/>
        <v>1681.7935793978615</v>
      </c>
      <c r="U513" s="6">
        <f t="shared" si="55"/>
        <v>17.817935793978616</v>
      </c>
    </row>
    <row r="514" spans="1:21" x14ac:dyDescent="0.3">
      <c r="A514" s="2">
        <v>45742</v>
      </c>
      <c r="B514" t="s">
        <v>15</v>
      </c>
      <c r="C514" t="s">
        <v>20</v>
      </c>
      <c r="D514" t="s">
        <v>25</v>
      </c>
      <c r="E514" t="s">
        <v>28</v>
      </c>
      <c r="F514">
        <v>261569</v>
      </c>
      <c r="G514">
        <v>10863</v>
      </c>
      <c r="H514">
        <v>2582</v>
      </c>
      <c r="I514">
        <v>1521</v>
      </c>
      <c r="J514">
        <v>869</v>
      </c>
      <c r="K514" s="4">
        <v>245885.34</v>
      </c>
      <c r="L514" s="4">
        <v>3687397.28</v>
      </c>
      <c r="M514" t="s">
        <v>31</v>
      </c>
      <c r="N514">
        <f t="shared" si="49"/>
        <v>1</v>
      </c>
      <c r="O514" t="str">
        <f>IF(AND(G514&lt;=F514,H514&lt;=G514,I514&lt;=H514,J514&lt;=I514),"OK","Check")</f>
        <v>OK</v>
      </c>
      <c r="P514" s="6">
        <f t="shared" si="50"/>
        <v>4.1530150744163112</v>
      </c>
      <c r="Q514" s="6">
        <f t="shared" si="51"/>
        <v>23.768756328822612</v>
      </c>
      <c r="R514" s="6">
        <f t="shared" si="52"/>
        <v>58.907823392718825</v>
      </c>
      <c r="S514" s="6">
        <f t="shared" si="53"/>
        <v>57.133464825772521</v>
      </c>
      <c r="T514" s="6">
        <f t="shared" si="54"/>
        <v>1399.6409627349071</v>
      </c>
      <c r="U514" s="6">
        <f t="shared" si="55"/>
        <v>14.996409627349072</v>
      </c>
    </row>
    <row r="515" spans="1:21" x14ac:dyDescent="0.3">
      <c r="A515" s="2">
        <v>45743</v>
      </c>
      <c r="B515" t="s">
        <v>15</v>
      </c>
      <c r="C515" t="s">
        <v>20</v>
      </c>
      <c r="D515" t="s">
        <v>25</v>
      </c>
      <c r="E515" t="s">
        <v>28</v>
      </c>
      <c r="F515">
        <v>242681</v>
      </c>
      <c r="G515">
        <v>16801</v>
      </c>
      <c r="H515">
        <v>3043</v>
      </c>
      <c r="I515">
        <v>1834</v>
      </c>
      <c r="J515">
        <v>1029</v>
      </c>
      <c r="K515" s="4">
        <v>237908.01</v>
      </c>
      <c r="L515" s="4">
        <v>7686272.0700000003</v>
      </c>
      <c r="M515" t="s">
        <v>31</v>
      </c>
      <c r="N515">
        <f t="shared" ref="N515:N578" si="56">COUNTIFS(A:A,A515,B:B,B515,C:C,C515,D:D,D515,E:E,E515,F:F,F515,G:G,G515,H:H,H515,I:I,I515,J:J,J515,K:K,K515,L:L,L515,M:M,M515)</f>
        <v>1</v>
      </c>
      <c r="O515" t="str">
        <f>IF(AND(G515&lt;=F515,H515&lt;=G515,I515&lt;=H515,J515&lt;=I515),"OK","Check")</f>
        <v>OK</v>
      </c>
      <c r="P515" s="6">
        <f t="shared" ref="P515:P578" si="57">IFERROR(G515/F515*100,0)</f>
        <v>6.9230800927967167</v>
      </c>
      <c r="Q515" s="6">
        <f t="shared" ref="Q515:Q578" si="58">IFERROR(H515/G515*100,0)</f>
        <v>18.112017141836795</v>
      </c>
      <c r="R515" s="6">
        <f t="shared" ref="R515:R578" si="59">IFERROR(I515/H515*100,0)</f>
        <v>60.26947091685836</v>
      </c>
      <c r="S515" s="6">
        <f t="shared" ref="S515:S578" si="60">IFERROR(J515/I515*100,0)</f>
        <v>56.106870229007633</v>
      </c>
      <c r="T515" s="6">
        <f t="shared" ref="T515:T578" si="61">IFERROR((L515-K515)/K515*100,0)</f>
        <v>3130.7748150219913</v>
      </c>
      <c r="U515" s="6">
        <f t="shared" ref="U515:U578" si="62">IFERROR(L515/K515,0)</f>
        <v>32.307748150219908</v>
      </c>
    </row>
    <row r="516" spans="1:21" x14ac:dyDescent="0.3">
      <c r="A516" s="2">
        <v>45744</v>
      </c>
      <c r="B516" t="s">
        <v>15</v>
      </c>
      <c r="C516" t="s">
        <v>20</v>
      </c>
      <c r="D516" t="s">
        <v>25</v>
      </c>
      <c r="E516" t="s">
        <v>29</v>
      </c>
      <c r="F516">
        <v>141344</v>
      </c>
      <c r="G516">
        <v>6626</v>
      </c>
      <c r="H516">
        <v>1362</v>
      </c>
      <c r="I516">
        <v>827</v>
      </c>
      <c r="J516">
        <v>451</v>
      </c>
      <c r="K516" s="4">
        <v>134141.85</v>
      </c>
      <c r="L516" s="4">
        <v>1833931.99</v>
      </c>
      <c r="M516" t="s">
        <v>32</v>
      </c>
      <c r="N516">
        <f t="shared" si="56"/>
        <v>1</v>
      </c>
      <c r="O516" t="str">
        <f>IF(AND(G516&lt;=F516,H516&lt;=G516,I516&lt;=H516,J516&lt;=I516),"OK","Check")</f>
        <v>OK</v>
      </c>
      <c r="P516" s="6">
        <f t="shared" si="57"/>
        <v>4.6878537468870274</v>
      </c>
      <c r="Q516" s="6">
        <f t="shared" si="58"/>
        <v>20.555387865982492</v>
      </c>
      <c r="R516" s="6">
        <f t="shared" si="59"/>
        <v>60.71953010279001</v>
      </c>
      <c r="S516" s="6">
        <f t="shared" si="60"/>
        <v>54.534461910519951</v>
      </c>
      <c r="T516" s="6">
        <f t="shared" si="61"/>
        <v>1267.1587129594529</v>
      </c>
      <c r="U516" s="6">
        <f t="shared" si="62"/>
        <v>13.671587129594529</v>
      </c>
    </row>
    <row r="517" spans="1:21" x14ac:dyDescent="0.3">
      <c r="A517" s="2">
        <v>45745</v>
      </c>
      <c r="B517" t="s">
        <v>15</v>
      </c>
      <c r="C517" t="s">
        <v>20</v>
      </c>
      <c r="D517" t="s">
        <v>25</v>
      </c>
      <c r="E517" t="s">
        <v>28</v>
      </c>
      <c r="F517">
        <v>229820</v>
      </c>
      <c r="G517">
        <v>11047</v>
      </c>
      <c r="H517">
        <v>2019</v>
      </c>
      <c r="I517">
        <v>1120</v>
      </c>
      <c r="J517">
        <v>565</v>
      </c>
      <c r="K517" s="4">
        <v>204934.93</v>
      </c>
      <c r="L517" s="4">
        <v>2057874.91</v>
      </c>
      <c r="M517" t="s">
        <v>35</v>
      </c>
      <c r="N517">
        <f t="shared" si="56"/>
        <v>1</v>
      </c>
      <c r="O517" t="str">
        <f>IF(AND(G517&lt;=F517,H517&lt;=G517,I517&lt;=H517,J517&lt;=I517),"OK","Check")</f>
        <v>OK</v>
      </c>
      <c r="P517" s="6">
        <f t="shared" si="57"/>
        <v>4.8068053259072316</v>
      </c>
      <c r="Q517" s="6">
        <f t="shared" si="58"/>
        <v>18.276455146193538</v>
      </c>
      <c r="R517" s="6">
        <f t="shared" si="59"/>
        <v>55.473006438831106</v>
      </c>
      <c r="S517" s="6">
        <f t="shared" si="60"/>
        <v>50.446428571428569</v>
      </c>
      <c r="T517" s="6">
        <f t="shared" si="61"/>
        <v>904.16015464030454</v>
      </c>
      <c r="U517" s="6">
        <f t="shared" si="62"/>
        <v>10.041601546403045</v>
      </c>
    </row>
    <row r="518" spans="1:21" x14ac:dyDescent="0.3">
      <c r="A518" s="2">
        <v>45746</v>
      </c>
      <c r="B518" t="s">
        <v>15</v>
      </c>
      <c r="C518" t="s">
        <v>20</v>
      </c>
      <c r="D518" t="s">
        <v>25</v>
      </c>
      <c r="E518" t="s">
        <v>30</v>
      </c>
      <c r="F518">
        <v>67576</v>
      </c>
      <c r="G518">
        <v>2896</v>
      </c>
      <c r="H518">
        <v>633</v>
      </c>
      <c r="I518">
        <v>348</v>
      </c>
      <c r="J518">
        <v>156</v>
      </c>
      <c r="K518" s="4">
        <v>59665.14</v>
      </c>
      <c r="L518" s="4">
        <v>761451.63</v>
      </c>
      <c r="M518" t="s">
        <v>33</v>
      </c>
      <c r="N518">
        <f t="shared" si="56"/>
        <v>1</v>
      </c>
      <c r="O518" t="str">
        <f>IF(AND(G518&lt;=F518,H518&lt;=G518,I518&lt;=H518,J518&lt;=I518),"OK","Check")</f>
        <v>OK</v>
      </c>
      <c r="P518" s="6">
        <f t="shared" si="57"/>
        <v>4.2855451639635378</v>
      </c>
      <c r="Q518" s="6">
        <f t="shared" si="58"/>
        <v>21.857734806629832</v>
      </c>
      <c r="R518" s="6">
        <f t="shared" si="59"/>
        <v>54.976303317535546</v>
      </c>
      <c r="S518" s="6">
        <f t="shared" si="60"/>
        <v>44.827586206896555</v>
      </c>
      <c r="T518" s="6">
        <f t="shared" si="61"/>
        <v>1176.2085700293337</v>
      </c>
      <c r="U518" s="6">
        <f t="shared" si="62"/>
        <v>12.762085700293337</v>
      </c>
    </row>
    <row r="519" spans="1:21" x14ac:dyDescent="0.3">
      <c r="A519" s="2">
        <v>45747</v>
      </c>
      <c r="B519" t="s">
        <v>15</v>
      </c>
      <c r="C519" t="s">
        <v>20</v>
      </c>
      <c r="D519" t="s">
        <v>25</v>
      </c>
      <c r="E519" t="s">
        <v>28</v>
      </c>
      <c r="F519">
        <v>203412</v>
      </c>
      <c r="G519">
        <v>13404</v>
      </c>
      <c r="H519">
        <v>3282</v>
      </c>
      <c r="I519">
        <v>1607</v>
      </c>
      <c r="J519">
        <v>645</v>
      </c>
      <c r="K519" s="4">
        <v>201828.55</v>
      </c>
      <c r="L519" s="4">
        <v>2389203.56</v>
      </c>
      <c r="M519" t="s">
        <v>33</v>
      </c>
      <c r="N519">
        <f t="shared" si="56"/>
        <v>1</v>
      </c>
      <c r="O519" t="str">
        <f>IF(AND(G519&lt;=F519,H519&lt;=G519,I519&lt;=H519,J519&lt;=I519),"OK","Check")</f>
        <v>OK</v>
      </c>
      <c r="P519" s="6">
        <f t="shared" si="57"/>
        <v>6.5895817355908202</v>
      </c>
      <c r="Q519" s="6">
        <f t="shared" si="58"/>
        <v>24.485228290062668</v>
      </c>
      <c r="R519" s="6">
        <f t="shared" si="59"/>
        <v>48.964046313223641</v>
      </c>
      <c r="S519" s="6">
        <f t="shared" si="60"/>
        <v>40.13690105787181</v>
      </c>
      <c r="T519" s="6">
        <f t="shared" si="61"/>
        <v>1083.7787864997297</v>
      </c>
      <c r="U519" s="6">
        <f t="shared" si="62"/>
        <v>11.837787864997297</v>
      </c>
    </row>
    <row r="520" spans="1:21" x14ac:dyDescent="0.3">
      <c r="A520" s="2">
        <v>45748</v>
      </c>
      <c r="B520" t="s">
        <v>15</v>
      </c>
      <c r="C520" t="s">
        <v>20</v>
      </c>
      <c r="D520" t="s">
        <v>25</v>
      </c>
      <c r="E520" t="s">
        <v>28</v>
      </c>
      <c r="F520">
        <v>188004</v>
      </c>
      <c r="G520">
        <v>6449</v>
      </c>
      <c r="H520">
        <v>1209</v>
      </c>
      <c r="I520">
        <v>590</v>
      </c>
      <c r="J520">
        <v>328</v>
      </c>
      <c r="K520" s="4">
        <v>130079.38</v>
      </c>
      <c r="L520" s="4">
        <v>1460235.88</v>
      </c>
      <c r="M520" t="s">
        <v>34</v>
      </c>
      <c r="N520">
        <f t="shared" si="56"/>
        <v>1</v>
      </c>
      <c r="O520" t="str">
        <f>IF(AND(G520&lt;=F520,H520&lt;=G520,I520&lt;=H520,J520&lt;=I520),"OK","Check")</f>
        <v>OK</v>
      </c>
      <c r="P520" s="6">
        <f t="shared" si="57"/>
        <v>3.4302461649752134</v>
      </c>
      <c r="Q520" s="6">
        <f t="shared" si="58"/>
        <v>18.747092572491859</v>
      </c>
      <c r="R520" s="6">
        <f t="shared" si="59"/>
        <v>48.800661703887513</v>
      </c>
      <c r="S520" s="6">
        <f t="shared" si="60"/>
        <v>55.593220338983052</v>
      </c>
      <c r="T520" s="6">
        <f t="shared" si="61"/>
        <v>1022.5729089422167</v>
      </c>
      <c r="U520" s="6">
        <f t="shared" si="62"/>
        <v>11.225729089422165</v>
      </c>
    </row>
    <row r="521" spans="1:21" x14ac:dyDescent="0.3">
      <c r="A521" s="2">
        <v>45749</v>
      </c>
      <c r="B521" t="s">
        <v>15</v>
      </c>
      <c r="C521" t="s">
        <v>20</v>
      </c>
      <c r="D521" t="s">
        <v>25</v>
      </c>
      <c r="E521" t="s">
        <v>28</v>
      </c>
      <c r="F521">
        <v>126338</v>
      </c>
      <c r="G521">
        <v>5512</v>
      </c>
      <c r="H521">
        <v>1277</v>
      </c>
      <c r="I521">
        <v>670</v>
      </c>
      <c r="J521">
        <v>387</v>
      </c>
      <c r="K521" s="4">
        <v>68197.679999999993</v>
      </c>
      <c r="L521" s="4">
        <v>1772957.17</v>
      </c>
      <c r="M521" t="s">
        <v>31</v>
      </c>
      <c r="N521">
        <f t="shared" si="56"/>
        <v>1</v>
      </c>
      <c r="O521" t="str">
        <f>IF(AND(G521&lt;=F521,H521&lt;=G521,I521&lt;=H521,J521&lt;=I521),"OK","Check")</f>
        <v>OK</v>
      </c>
      <c r="P521" s="6">
        <f t="shared" si="57"/>
        <v>4.3628995235004515</v>
      </c>
      <c r="Q521" s="6">
        <f t="shared" si="58"/>
        <v>23.167634252539912</v>
      </c>
      <c r="R521" s="6">
        <f t="shared" si="59"/>
        <v>52.466718872357085</v>
      </c>
      <c r="S521" s="6">
        <f t="shared" si="60"/>
        <v>57.761194029850749</v>
      </c>
      <c r="T521" s="6">
        <f t="shared" si="61"/>
        <v>2499.7323809255681</v>
      </c>
      <c r="U521" s="6">
        <f t="shared" si="62"/>
        <v>25.997323809255683</v>
      </c>
    </row>
    <row r="522" spans="1:21" x14ac:dyDescent="0.3">
      <c r="A522" s="2">
        <v>45750</v>
      </c>
      <c r="B522" t="s">
        <v>15</v>
      </c>
      <c r="C522" t="s">
        <v>20</v>
      </c>
      <c r="D522" t="s">
        <v>25</v>
      </c>
      <c r="E522" t="s">
        <v>28</v>
      </c>
      <c r="F522">
        <v>183191</v>
      </c>
      <c r="G522">
        <v>6099</v>
      </c>
      <c r="H522">
        <v>1415</v>
      </c>
      <c r="I522">
        <v>770</v>
      </c>
      <c r="J522">
        <v>397</v>
      </c>
      <c r="K522" s="4">
        <v>74337.41</v>
      </c>
      <c r="L522" s="4">
        <v>1467961.39</v>
      </c>
      <c r="M522" t="s">
        <v>33</v>
      </c>
      <c r="N522">
        <f t="shared" si="56"/>
        <v>1</v>
      </c>
      <c r="O522" t="str">
        <f>IF(AND(G522&lt;=F522,H522&lt;=G522,I522&lt;=H522,J522&lt;=I522),"OK","Check")</f>
        <v>OK</v>
      </c>
      <c r="P522" s="6">
        <f t="shared" si="57"/>
        <v>3.3293120295211009</v>
      </c>
      <c r="Q522" s="6">
        <f t="shared" si="58"/>
        <v>23.200524676176425</v>
      </c>
      <c r="R522" s="6">
        <f t="shared" si="59"/>
        <v>54.416961130742045</v>
      </c>
      <c r="S522" s="6">
        <f t="shared" si="60"/>
        <v>51.558441558441558</v>
      </c>
      <c r="T522" s="6">
        <f t="shared" si="61"/>
        <v>1874.7276505866964</v>
      </c>
      <c r="U522" s="6">
        <f t="shared" si="62"/>
        <v>19.747276505866964</v>
      </c>
    </row>
    <row r="523" spans="1:21" x14ac:dyDescent="0.3">
      <c r="A523" s="2">
        <v>45751</v>
      </c>
      <c r="B523" t="s">
        <v>15</v>
      </c>
      <c r="C523" t="s">
        <v>20</v>
      </c>
      <c r="D523" t="s">
        <v>25</v>
      </c>
      <c r="E523" t="s">
        <v>28</v>
      </c>
      <c r="F523">
        <v>84849</v>
      </c>
      <c r="G523">
        <v>3217</v>
      </c>
      <c r="H523">
        <v>556</v>
      </c>
      <c r="I523">
        <v>340</v>
      </c>
      <c r="J523">
        <v>176</v>
      </c>
      <c r="K523" s="4">
        <v>58482.3</v>
      </c>
      <c r="L523" s="4">
        <v>1379402.49</v>
      </c>
      <c r="M523" t="s">
        <v>31</v>
      </c>
      <c r="N523">
        <f t="shared" si="56"/>
        <v>1</v>
      </c>
      <c r="O523" t="str">
        <f>IF(AND(G523&lt;=F523,H523&lt;=G523,I523&lt;=H523,J523&lt;=I523),"OK","Check")</f>
        <v>OK</v>
      </c>
      <c r="P523" s="6">
        <f t="shared" si="57"/>
        <v>3.7914412662494548</v>
      </c>
      <c r="Q523" s="6">
        <f t="shared" si="58"/>
        <v>17.283183089835248</v>
      </c>
      <c r="R523" s="6">
        <f t="shared" si="59"/>
        <v>61.151079136690647</v>
      </c>
      <c r="S523" s="6">
        <f t="shared" si="60"/>
        <v>51.764705882352949</v>
      </c>
      <c r="T523" s="6">
        <f t="shared" si="61"/>
        <v>2258.6666222087706</v>
      </c>
      <c r="U523" s="6">
        <f t="shared" si="62"/>
        <v>23.586666222087707</v>
      </c>
    </row>
    <row r="524" spans="1:21" x14ac:dyDescent="0.3">
      <c r="A524" s="2">
        <v>45752</v>
      </c>
      <c r="B524" t="s">
        <v>15</v>
      </c>
      <c r="C524" t="s">
        <v>20</v>
      </c>
      <c r="D524" t="s">
        <v>25</v>
      </c>
      <c r="E524" t="s">
        <v>30</v>
      </c>
      <c r="F524">
        <v>197504</v>
      </c>
      <c r="G524">
        <v>8509</v>
      </c>
      <c r="H524">
        <v>1516</v>
      </c>
      <c r="I524">
        <v>789</v>
      </c>
      <c r="J524">
        <v>455</v>
      </c>
      <c r="K524" s="4">
        <v>104867.15</v>
      </c>
      <c r="L524" s="4">
        <v>3305228.65</v>
      </c>
      <c r="M524" t="s">
        <v>31</v>
      </c>
      <c r="N524">
        <f t="shared" si="56"/>
        <v>1</v>
      </c>
      <c r="O524" t="str">
        <f>IF(AND(G524&lt;=F524,H524&lt;=G524,I524&lt;=H524,J524&lt;=I524),"OK","Check")</f>
        <v>OK</v>
      </c>
      <c r="P524" s="6">
        <f t="shared" si="57"/>
        <v>4.3082671743357093</v>
      </c>
      <c r="Q524" s="6">
        <f t="shared" si="58"/>
        <v>17.816429662710071</v>
      </c>
      <c r="R524" s="6">
        <f t="shared" si="59"/>
        <v>52.044854881266488</v>
      </c>
      <c r="S524" s="6">
        <f t="shared" si="60"/>
        <v>57.667934093789611</v>
      </c>
      <c r="T524" s="6">
        <f t="shared" si="61"/>
        <v>3051.8246181001391</v>
      </c>
      <c r="U524" s="6">
        <f t="shared" si="62"/>
        <v>31.518246181001391</v>
      </c>
    </row>
    <row r="525" spans="1:21" x14ac:dyDescent="0.3">
      <c r="A525" s="2">
        <v>45753</v>
      </c>
      <c r="B525" t="s">
        <v>15</v>
      </c>
      <c r="C525" t="s">
        <v>20</v>
      </c>
      <c r="D525" t="s">
        <v>25</v>
      </c>
      <c r="E525" t="s">
        <v>30</v>
      </c>
      <c r="F525">
        <v>69154</v>
      </c>
      <c r="G525">
        <v>4707</v>
      </c>
      <c r="H525">
        <v>1042</v>
      </c>
      <c r="I525">
        <v>628</v>
      </c>
      <c r="J525">
        <v>284</v>
      </c>
      <c r="K525" s="4">
        <v>35916.58</v>
      </c>
      <c r="L525" s="4">
        <v>1254290.1000000001</v>
      </c>
      <c r="M525" t="s">
        <v>34</v>
      </c>
      <c r="N525">
        <f t="shared" si="56"/>
        <v>1</v>
      </c>
      <c r="O525" t="str">
        <f>IF(AND(G525&lt;=F525,H525&lt;=G525,I525&lt;=H525,J525&lt;=I525),"OK","Check")</f>
        <v>OK</v>
      </c>
      <c r="P525" s="6">
        <f t="shared" si="57"/>
        <v>6.8065477051219014</v>
      </c>
      <c r="Q525" s="6">
        <f t="shared" si="58"/>
        <v>22.137242404928831</v>
      </c>
      <c r="R525" s="6">
        <f t="shared" si="59"/>
        <v>60.268714011516309</v>
      </c>
      <c r="S525" s="6">
        <f t="shared" si="60"/>
        <v>45.222929936305732</v>
      </c>
      <c r="T525" s="6">
        <f t="shared" si="61"/>
        <v>3392.2314429714634</v>
      </c>
      <c r="U525" s="6">
        <f t="shared" si="62"/>
        <v>34.922314429714632</v>
      </c>
    </row>
    <row r="526" spans="1:21" x14ac:dyDescent="0.3">
      <c r="A526" s="2">
        <v>45754</v>
      </c>
      <c r="B526" t="s">
        <v>15</v>
      </c>
      <c r="C526" t="s">
        <v>20</v>
      </c>
      <c r="D526" t="s">
        <v>25</v>
      </c>
      <c r="E526" t="s">
        <v>28</v>
      </c>
      <c r="F526">
        <v>289761</v>
      </c>
      <c r="G526">
        <v>22640</v>
      </c>
      <c r="H526">
        <v>4750</v>
      </c>
      <c r="I526">
        <v>2972</v>
      </c>
      <c r="J526">
        <v>1259</v>
      </c>
      <c r="K526" s="4">
        <v>178162.37</v>
      </c>
      <c r="L526" s="4">
        <v>4800373.55</v>
      </c>
      <c r="M526" t="s">
        <v>31</v>
      </c>
      <c r="N526">
        <f t="shared" si="56"/>
        <v>1</v>
      </c>
      <c r="O526" t="str">
        <f>IF(AND(G526&lt;=F526,H526&lt;=G526,I526&lt;=H526,J526&lt;=I526),"OK","Check")</f>
        <v>OK</v>
      </c>
      <c r="P526" s="6">
        <f t="shared" si="57"/>
        <v>7.8133358181397767</v>
      </c>
      <c r="Q526" s="6">
        <f t="shared" si="58"/>
        <v>20.980565371024735</v>
      </c>
      <c r="R526" s="6">
        <f t="shared" si="59"/>
        <v>62.568421052631585</v>
      </c>
      <c r="S526" s="6">
        <f t="shared" si="60"/>
        <v>42.362045760430689</v>
      </c>
      <c r="T526" s="6">
        <f t="shared" si="61"/>
        <v>2594.3812826468347</v>
      </c>
      <c r="U526" s="6">
        <f t="shared" si="62"/>
        <v>26.943812826468349</v>
      </c>
    </row>
    <row r="527" spans="1:21" x14ac:dyDescent="0.3">
      <c r="A527" s="2">
        <v>45755</v>
      </c>
      <c r="B527" t="s">
        <v>15</v>
      </c>
      <c r="C527" t="s">
        <v>20</v>
      </c>
      <c r="D527" t="s">
        <v>25</v>
      </c>
      <c r="E527" t="s">
        <v>28</v>
      </c>
      <c r="F527">
        <v>110803</v>
      </c>
      <c r="G527">
        <v>4456</v>
      </c>
      <c r="H527">
        <v>876</v>
      </c>
      <c r="I527">
        <v>468</v>
      </c>
      <c r="J527">
        <v>219</v>
      </c>
      <c r="K527" s="4">
        <v>101061.77</v>
      </c>
      <c r="L527" s="4">
        <v>951963.17</v>
      </c>
      <c r="M527" t="s">
        <v>33</v>
      </c>
      <c r="N527">
        <f t="shared" si="56"/>
        <v>1</v>
      </c>
      <c r="O527" t="str">
        <f>IF(AND(G527&lt;=F527,H527&lt;=G527,I527&lt;=H527,J527&lt;=I527),"OK","Check")</f>
        <v>OK</v>
      </c>
      <c r="P527" s="6">
        <f t="shared" si="57"/>
        <v>4.0215517630389064</v>
      </c>
      <c r="Q527" s="6">
        <f t="shared" si="58"/>
        <v>19.658886894075405</v>
      </c>
      <c r="R527" s="6">
        <f t="shared" si="59"/>
        <v>53.424657534246577</v>
      </c>
      <c r="S527" s="6">
        <f t="shared" si="60"/>
        <v>46.794871794871796</v>
      </c>
      <c r="T527" s="6">
        <f t="shared" si="61"/>
        <v>841.96170322368187</v>
      </c>
      <c r="U527" s="6">
        <f t="shared" si="62"/>
        <v>9.41961703223682</v>
      </c>
    </row>
    <row r="528" spans="1:21" x14ac:dyDescent="0.3">
      <c r="A528" s="2">
        <v>45756</v>
      </c>
      <c r="B528" t="s">
        <v>15</v>
      </c>
      <c r="C528" t="s">
        <v>20</v>
      </c>
      <c r="D528" t="s">
        <v>25</v>
      </c>
      <c r="E528" t="s">
        <v>28</v>
      </c>
      <c r="F528">
        <v>239425</v>
      </c>
      <c r="G528">
        <v>15902</v>
      </c>
      <c r="H528">
        <v>2926</v>
      </c>
      <c r="I528">
        <v>1870</v>
      </c>
      <c r="J528">
        <v>851</v>
      </c>
      <c r="K528" s="4">
        <v>148342.78</v>
      </c>
      <c r="L528" s="4">
        <v>5872468.4800000004</v>
      </c>
      <c r="M528" t="s">
        <v>33</v>
      </c>
      <c r="N528">
        <f t="shared" si="56"/>
        <v>1</v>
      </c>
      <c r="O528" t="str">
        <f>IF(AND(G528&lt;=F528,H528&lt;=G528,I528&lt;=H528,J528&lt;=I528),"OK","Check")</f>
        <v>OK</v>
      </c>
      <c r="P528" s="6">
        <f t="shared" si="57"/>
        <v>6.6417458494309285</v>
      </c>
      <c r="Q528" s="6">
        <f t="shared" si="58"/>
        <v>18.400201232549364</v>
      </c>
      <c r="R528" s="6">
        <f t="shared" si="59"/>
        <v>63.909774436090231</v>
      </c>
      <c r="S528" s="6">
        <f t="shared" si="60"/>
        <v>45.508021390374331</v>
      </c>
      <c r="T528" s="6">
        <f t="shared" si="61"/>
        <v>3858.7154022595505</v>
      </c>
      <c r="U528" s="6">
        <f t="shared" si="62"/>
        <v>39.587154022595506</v>
      </c>
    </row>
    <row r="529" spans="1:21" x14ac:dyDescent="0.3">
      <c r="A529" s="2">
        <v>45757</v>
      </c>
      <c r="B529" t="s">
        <v>15</v>
      </c>
      <c r="C529" t="s">
        <v>20</v>
      </c>
      <c r="D529" t="s">
        <v>25</v>
      </c>
      <c r="E529" t="s">
        <v>29</v>
      </c>
      <c r="F529">
        <v>70240</v>
      </c>
      <c r="G529">
        <v>5540</v>
      </c>
      <c r="H529">
        <v>925</v>
      </c>
      <c r="I529">
        <v>577</v>
      </c>
      <c r="J529">
        <v>307</v>
      </c>
      <c r="K529" s="4">
        <v>40196.1</v>
      </c>
      <c r="L529" s="4">
        <v>1662472.27</v>
      </c>
      <c r="M529" t="s">
        <v>32</v>
      </c>
      <c r="N529">
        <f t="shared" si="56"/>
        <v>1</v>
      </c>
      <c r="O529" t="str">
        <f>IF(AND(G529&lt;=F529,H529&lt;=G529,I529&lt;=H529,J529&lt;=I529),"OK","Check")</f>
        <v>OK</v>
      </c>
      <c r="P529" s="6">
        <f t="shared" si="57"/>
        <v>7.8872437357630982</v>
      </c>
      <c r="Q529" s="6">
        <f t="shared" si="58"/>
        <v>16.696750902527079</v>
      </c>
      <c r="R529" s="6">
        <f t="shared" si="59"/>
        <v>62.378378378378372</v>
      </c>
      <c r="S529" s="6">
        <f t="shared" si="60"/>
        <v>53.206239168110912</v>
      </c>
      <c r="T529" s="6">
        <f t="shared" si="61"/>
        <v>4035.9044036610521</v>
      </c>
      <c r="U529" s="6">
        <f t="shared" si="62"/>
        <v>41.35904403661052</v>
      </c>
    </row>
    <row r="530" spans="1:21" x14ac:dyDescent="0.3">
      <c r="A530" s="2">
        <v>45758</v>
      </c>
      <c r="B530" t="s">
        <v>15</v>
      </c>
      <c r="C530" t="s">
        <v>20</v>
      </c>
      <c r="D530" t="s">
        <v>25</v>
      </c>
      <c r="E530" t="s">
        <v>30</v>
      </c>
      <c r="F530">
        <v>138678</v>
      </c>
      <c r="G530">
        <v>6834</v>
      </c>
      <c r="H530">
        <v>1173</v>
      </c>
      <c r="I530">
        <v>590</v>
      </c>
      <c r="J530">
        <v>294</v>
      </c>
      <c r="K530" s="4">
        <v>98499.51</v>
      </c>
      <c r="L530" s="4">
        <v>1157268.05</v>
      </c>
      <c r="M530" t="s">
        <v>35</v>
      </c>
      <c r="N530">
        <f t="shared" si="56"/>
        <v>1</v>
      </c>
      <c r="O530" t="str">
        <f>IF(AND(G530&lt;=F530,H530&lt;=G530,I530&lt;=H530,J530&lt;=I530),"OK","Check")</f>
        <v>OK</v>
      </c>
      <c r="P530" s="6">
        <f t="shared" si="57"/>
        <v>4.9279626184398388</v>
      </c>
      <c r="Q530" s="6">
        <f t="shared" si="58"/>
        <v>17.164179104477611</v>
      </c>
      <c r="R530" s="6">
        <f t="shared" si="59"/>
        <v>50.298380221653879</v>
      </c>
      <c r="S530" s="6">
        <f t="shared" si="60"/>
        <v>49.830508474576277</v>
      </c>
      <c r="T530" s="6">
        <f t="shared" si="61"/>
        <v>1074.8972659863994</v>
      </c>
      <c r="U530" s="6">
        <f t="shared" si="62"/>
        <v>11.748972659863995</v>
      </c>
    </row>
    <row r="531" spans="1:21" x14ac:dyDescent="0.3">
      <c r="A531" s="2">
        <v>45759</v>
      </c>
      <c r="B531" t="s">
        <v>15</v>
      </c>
      <c r="C531" t="s">
        <v>20</v>
      </c>
      <c r="D531" t="s">
        <v>25</v>
      </c>
      <c r="E531" t="s">
        <v>28</v>
      </c>
      <c r="F531">
        <v>263247</v>
      </c>
      <c r="G531">
        <v>19300</v>
      </c>
      <c r="H531">
        <v>3627</v>
      </c>
      <c r="I531">
        <v>2251</v>
      </c>
      <c r="J531">
        <v>1126</v>
      </c>
      <c r="K531" s="4">
        <v>214028.74</v>
      </c>
      <c r="L531" s="4">
        <v>8518494.3200000003</v>
      </c>
      <c r="M531" t="s">
        <v>34</v>
      </c>
      <c r="N531">
        <f t="shared" si="56"/>
        <v>1</v>
      </c>
      <c r="O531" t="str">
        <f>IF(AND(G531&lt;=F531,H531&lt;=G531,I531&lt;=H531,J531&lt;=I531),"OK","Check")</f>
        <v>OK</v>
      </c>
      <c r="P531" s="6">
        <f t="shared" si="57"/>
        <v>7.3315175481581933</v>
      </c>
      <c r="Q531" s="6">
        <f t="shared" si="58"/>
        <v>18.792746113989637</v>
      </c>
      <c r="R531" s="6">
        <f t="shared" si="59"/>
        <v>62.062310449407221</v>
      </c>
      <c r="S531" s="6">
        <f t="shared" si="60"/>
        <v>50.022212350066638</v>
      </c>
      <c r="T531" s="6">
        <f t="shared" si="61"/>
        <v>3880.0703027079448</v>
      </c>
      <c r="U531" s="6">
        <f t="shared" si="62"/>
        <v>39.80070302707945</v>
      </c>
    </row>
    <row r="532" spans="1:21" x14ac:dyDescent="0.3">
      <c r="A532" s="2">
        <v>45760</v>
      </c>
      <c r="B532" t="s">
        <v>15</v>
      </c>
      <c r="C532" t="s">
        <v>20</v>
      </c>
      <c r="D532" t="s">
        <v>25</v>
      </c>
      <c r="E532" t="s">
        <v>29</v>
      </c>
      <c r="F532">
        <v>171458</v>
      </c>
      <c r="G532">
        <v>10003</v>
      </c>
      <c r="H532">
        <v>1964</v>
      </c>
      <c r="I532">
        <v>1248</v>
      </c>
      <c r="J532">
        <v>648</v>
      </c>
      <c r="K532" s="4">
        <v>93164.51</v>
      </c>
      <c r="L532" s="4">
        <v>4778046.8099999996</v>
      </c>
      <c r="M532" t="s">
        <v>35</v>
      </c>
      <c r="N532">
        <f t="shared" si="56"/>
        <v>1</v>
      </c>
      <c r="O532" t="str">
        <f>IF(AND(G532&lt;=F532,H532&lt;=G532,I532&lt;=H532,J532&lt;=I532),"OK","Check")</f>
        <v>OK</v>
      </c>
      <c r="P532" s="6">
        <f t="shared" si="57"/>
        <v>5.8340818159549279</v>
      </c>
      <c r="Q532" s="6">
        <f t="shared" si="58"/>
        <v>19.63410976706988</v>
      </c>
      <c r="R532" s="6">
        <f t="shared" si="59"/>
        <v>63.543788187372705</v>
      </c>
      <c r="S532" s="6">
        <f t="shared" si="60"/>
        <v>51.923076923076927</v>
      </c>
      <c r="T532" s="6">
        <f t="shared" si="61"/>
        <v>5028.6126122490214</v>
      </c>
      <c r="U532" s="6">
        <f t="shared" si="62"/>
        <v>51.286126122490202</v>
      </c>
    </row>
    <row r="533" spans="1:21" x14ac:dyDescent="0.3">
      <c r="A533" s="2">
        <v>45761</v>
      </c>
      <c r="B533" t="s">
        <v>15</v>
      </c>
      <c r="C533" t="s">
        <v>20</v>
      </c>
      <c r="D533" t="s">
        <v>25</v>
      </c>
      <c r="E533" t="s">
        <v>28</v>
      </c>
      <c r="F533">
        <v>172696</v>
      </c>
      <c r="G533">
        <v>13622</v>
      </c>
      <c r="H533">
        <v>2087</v>
      </c>
      <c r="I533">
        <v>1215</v>
      </c>
      <c r="J533">
        <v>682</v>
      </c>
      <c r="K533" s="4">
        <v>172286.34</v>
      </c>
      <c r="L533" s="4">
        <v>4380214.3</v>
      </c>
      <c r="M533" t="s">
        <v>33</v>
      </c>
      <c r="N533">
        <f t="shared" si="56"/>
        <v>1</v>
      </c>
      <c r="O533" t="str">
        <f>IF(AND(G533&lt;=F533,H533&lt;=G533,I533&lt;=H533,J533&lt;=I533),"OK","Check")</f>
        <v>OK</v>
      </c>
      <c r="P533" s="6">
        <f t="shared" si="57"/>
        <v>7.8878491684810301</v>
      </c>
      <c r="Q533" s="6">
        <f t="shared" si="58"/>
        <v>15.320804580825136</v>
      </c>
      <c r="R533" s="6">
        <f t="shared" si="59"/>
        <v>58.217537134643024</v>
      </c>
      <c r="S533" s="6">
        <f t="shared" si="60"/>
        <v>56.131687242798357</v>
      </c>
      <c r="T533" s="6">
        <f t="shared" si="61"/>
        <v>2442.4037100097435</v>
      </c>
      <c r="U533" s="6">
        <f t="shared" si="62"/>
        <v>25.424037100097429</v>
      </c>
    </row>
    <row r="534" spans="1:21" x14ac:dyDescent="0.3">
      <c r="A534" s="2">
        <v>45762</v>
      </c>
      <c r="B534" t="s">
        <v>15</v>
      </c>
      <c r="C534" t="s">
        <v>20</v>
      </c>
      <c r="D534" t="s">
        <v>25</v>
      </c>
      <c r="E534" t="s">
        <v>29</v>
      </c>
      <c r="F534">
        <v>254916</v>
      </c>
      <c r="G534">
        <v>18774</v>
      </c>
      <c r="H534">
        <v>2891</v>
      </c>
      <c r="I534">
        <v>1575</v>
      </c>
      <c r="J534">
        <v>935</v>
      </c>
      <c r="K534" s="4">
        <v>166572.54999999999</v>
      </c>
      <c r="L534" s="4">
        <v>5819811.4400000004</v>
      </c>
      <c r="M534" t="s">
        <v>31</v>
      </c>
      <c r="N534">
        <f t="shared" si="56"/>
        <v>1</v>
      </c>
      <c r="O534" t="str">
        <f>IF(AND(G534&lt;=F534,H534&lt;=G534,I534&lt;=H534,J534&lt;=I534),"OK","Check")</f>
        <v>OK</v>
      </c>
      <c r="P534" s="6">
        <f t="shared" si="57"/>
        <v>7.3647789860189246</v>
      </c>
      <c r="Q534" s="6">
        <f t="shared" si="58"/>
        <v>15.39895600298285</v>
      </c>
      <c r="R534" s="6">
        <f t="shared" si="59"/>
        <v>54.479418886198552</v>
      </c>
      <c r="S534" s="6">
        <f t="shared" si="60"/>
        <v>59.365079365079367</v>
      </c>
      <c r="T534" s="6">
        <f t="shared" si="61"/>
        <v>3393.8598466554067</v>
      </c>
      <c r="U534" s="6">
        <f t="shared" si="62"/>
        <v>34.938598466554069</v>
      </c>
    </row>
    <row r="535" spans="1:21" x14ac:dyDescent="0.3">
      <c r="A535" s="2">
        <v>45763</v>
      </c>
      <c r="B535" t="s">
        <v>15</v>
      </c>
      <c r="C535" t="s">
        <v>20</v>
      </c>
      <c r="D535" t="s">
        <v>25</v>
      </c>
      <c r="E535" t="s">
        <v>29</v>
      </c>
      <c r="F535">
        <v>297311</v>
      </c>
      <c r="G535">
        <v>12824</v>
      </c>
      <c r="H535">
        <v>2266</v>
      </c>
      <c r="I535">
        <v>1065</v>
      </c>
      <c r="J535">
        <v>566</v>
      </c>
      <c r="K535" s="4">
        <v>177196.19</v>
      </c>
      <c r="L535" s="4">
        <v>4455320.8600000003</v>
      </c>
      <c r="M535" t="s">
        <v>32</v>
      </c>
      <c r="N535">
        <f t="shared" si="56"/>
        <v>1</v>
      </c>
      <c r="O535" t="str">
        <f>IF(AND(G535&lt;=F535,H535&lt;=G535,I535&lt;=H535,J535&lt;=I535),"OK","Check")</f>
        <v>OK</v>
      </c>
      <c r="P535" s="6">
        <f t="shared" si="57"/>
        <v>4.3133284674969987</v>
      </c>
      <c r="Q535" s="6">
        <f t="shared" si="58"/>
        <v>17.669993761696816</v>
      </c>
      <c r="R535" s="6">
        <f t="shared" si="59"/>
        <v>46.999117387466903</v>
      </c>
      <c r="S535" s="6">
        <f t="shared" si="60"/>
        <v>53.145539906103288</v>
      </c>
      <c r="T535" s="6">
        <f t="shared" si="61"/>
        <v>2414.3434856020326</v>
      </c>
      <c r="U535" s="6">
        <f t="shared" si="62"/>
        <v>25.143434856020324</v>
      </c>
    </row>
    <row r="536" spans="1:21" x14ac:dyDescent="0.3">
      <c r="A536" s="2">
        <v>45764</v>
      </c>
      <c r="B536" t="s">
        <v>15</v>
      </c>
      <c r="C536" t="s">
        <v>20</v>
      </c>
      <c r="D536" t="s">
        <v>25</v>
      </c>
      <c r="E536" t="s">
        <v>28</v>
      </c>
      <c r="F536">
        <v>187876</v>
      </c>
      <c r="G536">
        <v>14537</v>
      </c>
      <c r="H536">
        <v>3326</v>
      </c>
      <c r="I536">
        <v>1964</v>
      </c>
      <c r="J536">
        <v>1057</v>
      </c>
      <c r="K536" s="4">
        <v>100656.39</v>
      </c>
      <c r="L536" s="4">
        <v>4478372.76</v>
      </c>
      <c r="M536" t="s">
        <v>31</v>
      </c>
      <c r="N536">
        <f t="shared" si="56"/>
        <v>1</v>
      </c>
      <c r="O536" t="str">
        <f>IF(AND(G536&lt;=F536,H536&lt;=G536,I536&lt;=H536,J536&lt;=I536),"OK","Check")</f>
        <v>OK</v>
      </c>
      <c r="P536" s="6">
        <f t="shared" si="57"/>
        <v>7.7375502991334706</v>
      </c>
      <c r="Q536" s="6">
        <f t="shared" si="58"/>
        <v>22.879548737703789</v>
      </c>
      <c r="R536" s="6">
        <f t="shared" si="59"/>
        <v>59.049909801563437</v>
      </c>
      <c r="S536" s="6">
        <f t="shared" si="60"/>
        <v>53.818737270875758</v>
      </c>
      <c r="T536" s="6">
        <f t="shared" si="61"/>
        <v>4349.1688605164563</v>
      </c>
      <c r="U536" s="6">
        <f t="shared" si="62"/>
        <v>44.491688605164562</v>
      </c>
    </row>
    <row r="537" spans="1:21" x14ac:dyDescent="0.3">
      <c r="A537" s="2">
        <v>45765</v>
      </c>
      <c r="B537" t="s">
        <v>15</v>
      </c>
      <c r="C537" t="s">
        <v>20</v>
      </c>
      <c r="D537" t="s">
        <v>25</v>
      </c>
      <c r="E537" t="s">
        <v>29</v>
      </c>
      <c r="F537">
        <v>286470</v>
      </c>
      <c r="G537">
        <v>17503</v>
      </c>
      <c r="H537">
        <v>2821</v>
      </c>
      <c r="I537">
        <v>1744</v>
      </c>
      <c r="J537">
        <v>734</v>
      </c>
      <c r="K537" s="4">
        <v>214086.95</v>
      </c>
      <c r="L537" s="4">
        <v>2364928.66</v>
      </c>
      <c r="M537" t="s">
        <v>32</v>
      </c>
      <c r="N537">
        <f t="shared" si="56"/>
        <v>1</v>
      </c>
      <c r="O537" t="str">
        <f>IF(AND(G537&lt;=F537,H537&lt;=G537,I537&lt;=H537,J537&lt;=I537),"OK","Check")</f>
        <v>OK</v>
      </c>
      <c r="P537" s="6">
        <f t="shared" si="57"/>
        <v>6.1098893426885885</v>
      </c>
      <c r="Q537" s="6">
        <f t="shared" si="58"/>
        <v>16.117237045077985</v>
      </c>
      <c r="R537" s="6">
        <f t="shared" si="59"/>
        <v>61.822048918823114</v>
      </c>
      <c r="S537" s="6">
        <f t="shared" si="60"/>
        <v>42.087155963302756</v>
      </c>
      <c r="T537" s="6">
        <f t="shared" si="61"/>
        <v>1004.6580186228072</v>
      </c>
      <c r="U537" s="6">
        <f t="shared" si="62"/>
        <v>11.046580186228072</v>
      </c>
    </row>
    <row r="538" spans="1:21" x14ac:dyDescent="0.3">
      <c r="A538" s="2">
        <v>45766</v>
      </c>
      <c r="B538" t="s">
        <v>15</v>
      </c>
      <c r="C538" t="s">
        <v>20</v>
      </c>
      <c r="D538" t="s">
        <v>25</v>
      </c>
      <c r="E538" t="s">
        <v>28</v>
      </c>
      <c r="F538">
        <v>162404</v>
      </c>
      <c r="G538">
        <v>11970</v>
      </c>
      <c r="H538">
        <v>2624</v>
      </c>
      <c r="I538">
        <v>1217</v>
      </c>
      <c r="J538">
        <v>633</v>
      </c>
      <c r="K538" s="4">
        <v>107823.72</v>
      </c>
      <c r="L538" s="4">
        <v>4731468.72</v>
      </c>
      <c r="M538" t="s">
        <v>31</v>
      </c>
      <c r="N538">
        <f t="shared" si="56"/>
        <v>1</v>
      </c>
      <c r="O538" t="str">
        <f>IF(AND(G538&lt;=F538,H538&lt;=G538,I538&lt;=H538,J538&lt;=I538),"OK","Check")</f>
        <v>OK</v>
      </c>
      <c r="P538" s="6">
        <f t="shared" si="57"/>
        <v>7.3705081155636565</v>
      </c>
      <c r="Q538" s="6">
        <f t="shared" si="58"/>
        <v>21.921470342522976</v>
      </c>
      <c r="R538" s="6">
        <f t="shared" si="59"/>
        <v>46.37957317073171</v>
      </c>
      <c r="S538" s="6">
        <f t="shared" si="60"/>
        <v>52.013147082990962</v>
      </c>
      <c r="T538" s="6">
        <f t="shared" si="61"/>
        <v>4288.1519947558854</v>
      </c>
      <c r="U538" s="6">
        <f t="shared" si="62"/>
        <v>43.881519947558843</v>
      </c>
    </row>
    <row r="539" spans="1:21" x14ac:dyDescent="0.3">
      <c r="A539" s="2">
        <v>45767</v>
      </c>
      <c r="B539" t="s">
        <v>15</v>
      </c>
      <c r="C539" t="s">
        <v>20</v>
      </c>
      <c r="D539" t="s">
        <v>25</v>
      </c>
      <c r="E539" t="s">
        <v>30</v>
      </c>
      <c r="F539">
        <v>70773</v>
      </c>
      <c r="G539">
        <v>2354</v>
      </c>
      <c r="H539">
        <v>502</v>
      </c>
      <c r="I539">
        <v>320</v>
      </c>
      <c r="J539">
        <v>137</v>
      </c>
      <c r="K539" s="4">
        <v>37944.949999999997</v>
      </c>
      <c r="L539" s="4">
        <v>641296.64000000001</v>
      </c>
      <c r="M539" t="s">
        <v>32</v>
      </c>
      <c r="N539">
        <f t="shared" si="56"/>
        <v>1</v>
      </c>
      <c r="O539" t="str">
        <f>IF(AND(G539&lt;=F539,H539&lt;=G539,I539&lt;=H539,J539&lt;=I539),"OK","Check")</f>
        <v>OK</v>
      </c>
      <c r="P539" s="6">
        <f t="shared" si="57"/>
        <v>3.3261271953993754</v>
      </c>
      <c r="Q539" s="6">
        <f t="shared" si="58"/>
        <v>21.325403568394222</v>
      </c>
      <c r="R539" s="6">
        <f t="shared" si="59"/>
        <v>63.745019920318725</v>
      </c>
      <c r="S539" s="6">
        <f t="shared" si="60"/>
        <v>42.8125</v>
      </c>
      <c r="T539" s="6">
        <f t="shared" si="61"/>
        <v>1590.071116182786</v>
      </c>
      <c r="U539" s="6">
        <f t="shared" si="62"/>
        <v>16.900711161827861</v>
      </c>
    </row>
    <row r="540" spans="1:21" x14ac:dyDescent="0.3">
      <c r="A540" s="2">
        <v>45768</v>
      </c>
      <c r="B540" t="s">
        <v>15</v>
      </c>
      <c r="C540" t="s">
        <v>20</v>
      </c>
      <c r="D540" t="s">
        <v>25</v>
      </c>
      <c r="E540" t="s">
        <v>30</v>
      </c>
      <c r="F540">
        <v>92159</v>
      </c>
      <c r="G540">
        <v>7283</v>
      </c>
      <c r="H540">
        <v>1706</v>
      </c>
      <c r="I540">
        <v>985</v>
      </c>
      <c r="J540">
        <v>420</v>
      </c>
      <c r="K540" s="4">
        <v>83018.34</v>
      </c>
      <c r="L540" s="4">
        <v>3155986.73</v>
      </c>
      <c r="M540" t="s">
        <v>34</v>
      </c>
      <c r="N540">
        <f t="shared" si="56"/>
        <v>1</v>
      </c>
      <c r="O540" t="str">
        <f>IF(AND(G540&lt;=F540,H540&lt;=G540,I540&lt;=H540,J540&lt;=I540),"OK","Check")</f>
        <v>OK</v>
      </c>
      <c r="P540" s="6">
        <f t="shared" si="57"/>
        <v>7.9026465130915042</v>
      </c>
      <c r="Q540" s="6">
        <f t="shared" si="58"/>
        <v>23.424413016614032</v>
      </c>
      <c r="R540" s="6">
        <f t="shared" si="59"/>
        <v>57.737397420867531</v>
      </c>
      <c r="S540" s="6">
        <f t="shared" si="60"/>
        <v>42.639593908629443</v>
      </c>
      <c r="T540" s="6">
        <f t="shared" si="61"/>
        <v>3701.5536446524957</v>
      </c>
      <c r="U540" s="6">
        <f t="shared" si="62"/>
        <v>38.015536446524948</v>
      </c>
    </row>
    <row r="541" spans="1:21" x14ac:dyDescent="0.3">
      <c r="A541" s="2">
        <v>45769</v>
      </c>
      <c r="B541" t="s">
        <v>15</v>
      </c>
      <c r="C541" t="s">
        <v>20</v>
      </c>
      <c r="D541" t="s">
        <v>25</v>
      </c>
      <c r="E541" t="s">
        <v>29</v>
      </c>
      <c r="F541">
        <v>214210</v>
      </c>
      <c r="G541">
        <v>12044</v>
      </c>
      <c r="H541">
        <v>2322</v>
      </c>
      <c r="I541">
        <v>1116</v>
      </c>
      <c r="J541">
        <v>510</v>
      </c>
      <c r="K541" s="4">
        <v>92410</v>
      </c>
      <c r="L541" s="4">
        <v>4047072.48</v>
      </c>
      <c r="M541" t="s">
        <v>35</v>
      </c>
      <c r="N541">
        <f t="shared" si="56"/>
        <v>1</v>
      </c>
      <c r="O541" t="str">
        <f>IF(AND(G541&lt;=F541,H541&lt;=G541,I541&lt;=H541,J541&lt;=I541),"OK","Check")</f>
        <v>OK</v>
      </c>
      <c r="P541" s="6">
        <f t="shared" si="57"/>
        <v>5.6225199570514919</v>
      </c>
      <c r="Q541" s="6">
        <f t="shared" si="58"/>
        <v>19.27930919960146</v>
      </c>
      <c r="R541" s="6">
        <f t="shared" si="59"/>
        <v>48.062015503875969</v>
      </c>
      <c r="S541" s="6">
        <f t="shared" si="60"/>
        <v>45.698924731182792</v>
      </c>
      <c r="T541" s="6">
        <f t="shared" si="61"/>
        <v>4279.4746023157668</v>
      </c>
      <c r="U541" s="6">
        <f t="shared" si="62"/>
        <v>43.794746023157664</v>
      </c>
    </row>
    <row r="542" spans="1:21" x14ac:dyDescent="0.3">
      <c r="A542" s="2">
        <v>45770</v>
      </c>
      <c r="B542" t="s">
        <v>15</v>
      </c>
      <c r="C542" t="s">
        <v>20</v>
      </c>
      <c r="D542" t="s">
        <v>25</v>
      </c>
      <c r="E542" t="s">
        <v>29</v>
      </c>
      <c r="F542">
        <v>89597</v>
      </c>
      <c r="G542">
        <v>3957</v>
      </c>
      <c r="H542">
        <v>914</v>
      </c>
      <c r="I542">
        <v>497</v>
      </c>
      <c r="J542">
        <v>220</v>
      </c>
      <c r="K542" s="4">
        <v>56902.12</v>
      </c>
      <c r="L542" s="4">
        <v>917613.33</v>
      </c>
      <c r="M542" t="s">
        <v>35</v>
      </c>
      <c r="N542">
        <f t="shared" si="56"/>
        <v>1</v>
      </c>
      <c r="O542" t="str">
        <f>IF(AND(G542&lt;=F542,H542&lt;=G542,I542&lt;=H542,J542&lt;=I542),"OK","Check")</f>
        <v>OK</v>
      </c>
      <c r="P542" s="6">
        <f t="shared" si="57"/>
        <v>4.4164425148163442</v>
      </c>
      <c r="Q542" s="6">
        <f t="shared" si="58"/>
        <v>23.098306798079353</v>
      </c>
      <c r="R542" s="6">
        <f t="shared" si="59"/>
        <v>54.376367614879648</v>
      </c>
      <c r="S542" s="6">
        <f t="shared" si="60"/>
        <v>44.265593561368213</v>
      </c>
      <c r="T542" s="6">
        <f t="shared" si="61"/>
        <v>1512.6171221740067</v>
      </c>
      <c r="U542" s="6">
        <f t="shared" si="62"/>
        <v>16.126171221740066</v>
      </c>
    </row>
    <row r="543" spans="1:21" x14ac:dyDescent="0.3">
      <c r="A543" s="2">
        <v>45771</v>
      </c>
      <c r="B543" t="s">
        <v>15</v>
      </c>
      <c r="C543" t="s">
        <v>20</v>
      </c>
      <c r="D543" t="s">
        <v>25</v>
      </c>
      <c r="E543" t="s">
        <v>28</v>
      </c>
      <c r="F543">
        <v>219815</v>
      </c>
      <c r="G543">
        <v>15931</v>
      </c>
      <c r="H543">
        <v>2530</v>
      </c>
      <c r="I543">
        <v>1544</v>
      </c>
      <c r="J543">
        <v>888</v>
      </c>
      <c r="K543" s="4">
        <v>106057.04</v>
      </c>
      <c r="L543" s="4">
        <v>6164863.6699999999</v>
      </c>
      <c r="M543" t="s">
        <v>31</v>
      </c>
      <c r="N543">
        <f t="shared" si="56"/>
        <v>1</v>
      </c>
      <c r="O543" t="str">
        <f>IF(AND(G543&lt;=F543,H543&lt;=G543,I543&lt;=H543,J543&lt;=I543),"OK","Check")</f>
        <v>OK</v>
      </c>
      <c r="P543" s="6">
        <f t="shared" si="57"/>
        <v>7.2474580897572958</v>
      </c>
      <c r="Q543" s="6">
        <f t="shared" si="58"/>
        <v>15.880986755382587</v>
      </c>
      <c r="R543" s="6">
        <f t="shared" si="59"/>
        <v>61.027667984189726</v>
      </c>
      <c r="S543" s="6">
        <f t="shared" si="60"/>
        <v>57.512953367875653</v>
      </c>
      <c r="T543" s="6">
        <f t="shared" si="61"/>
        <v>5712.7811883114973</v>
      </c>
      <c r="U543" s="6">
        <f t="shared" si="62"/>
        <v>58.127811883114973</v>
      </c>
    </row>
    <row r="544" spans="1:21" x14ac:dyDescent="0.3">
      <c r="A544" s="2">
        <v>45772</v>
      </c>
      <c r="B544" t="s">
        <v>15</v>
      </c>
      <c r="C544" t="s">
        <v>20</v>
      </c>
      <c r="D544" t="s">
        <v>25</v>
      </c>
      <c r="E544" t="s">
        <v>29</v>
      </c>
      <c r="F544">
        <v>155800</v>
      </c>
      <c r="G544">
        <v>6865</v>
      </c>
      <c r="H544">
        <v>1272</v>
      </c>
      <c r="I544">
        <v>765</v>
      </c>
      <c r="J544">
        <v>363</v>
      </c>
      <c r="K544" s="4">
        <v>69361.47</v>
      </c>
      <c r="L544" s="4">
        <v>1831892.26</v>
      </c>
      <c r="M544" t="s">
        <v>35</v>
      </c>
      <c r="N544">
        <f t="shared" si="56"/>
        <v>1</v>
      </c>
      <c r="O544" t="str">
        <f>IF(AND(G544&lt;=F544,H544&lt;=G544,I544&lt;=H544,J544&lt;=I544),"OK","Check")</f>
        <v>OK</v>
      </c>
      <c r="P544" s="6">
        <f t="shared" si="57"/>
        <v>4.4062901155327339</v>
      </c>
      <c r="Q544" s="6">
        <f t="shared" si="58"/>
        <v>18.528769118718134</v>
      </c>
      <c r="R544" s="6">
        <f t="shared" si="59"/>
        <v>60.141509433962256</v>
      </c>
      <c r="S544" s="6">
        <f t="shared" si="60"/>
        <v>47.450980392156858</v>
      </c>
      <c r="T544" s="6">
        <f t="shared" si="61"/>
        <v>2541.0805018982442</v>
      </c>
      <c r="U544" s="6">
        <f t="shared" si="62"/>
        <v>26.41080501898244</v>
      </c>
    </row>
    <row r="545" spans="1:21" x14ac:dyDescent="0.3">
      <c r="A545" s="2">
        <v>45773</v>
      </c>
      <c r="B545" t="s">
        <v>15</v>
      </c>
      <c r="C545" t="s">
        <v>20</v>
      </c>
      <c r="D545" t="s">
        <v>25</v>
      </c>
      <c r="E545" t="s">
        <v>30</v>
      </c>
      <c r="F545">
        <v>78865</v>
      </c>
      <c r="G545">
        <v>2545</v>
      </c>
      <c r="H545">
        <v>595</v>
      </c>
      <c r="I545">
        <v>378</v>
      </c>
      <c r="J545">
        <v>152</v>
      </c>
      <c r="K545" s="4">
        <v>70156.08</v>
      </c>
      <c r="L545" s="4">
        <v>1136108.8700000001</v>
      </c>
      <c r="M545" t="s">
        <v>31</v>
      </c>
      <c r="N545">
        <f t="shared" si="56"/>
        <v>1</v>
      </c>
      <c r="O545" t="str">
        <f>IF(AND(G545&lt;=F545,H545&lt;=G545,I545&lt;=H545,J545&lt;=I545),"OK","Check")</f>
        <v>OK</v>
      </c>
      <c r="P545" s="6">
        <f t="shared" si="57"/>
        <v>3.227033538324986</v>
      </c>
      <c r="Q545" s="6">
        <f t="shared" si="58"/>
        <v>23.379174852652259</v>
      </c>
      <c r="R545" s="6">
        <f t="shared" si="59"/>
        <v>63.529411764705877</v>
      </c>
      <c r="S545" s="6">
        <f t="shared" si="60"/>
        <v>40.211640211640209</v>
      </c>
      <c r="T545" s="6">
        <f t="shared" si="61"/>
        <v>1519.4018679492926</v>
      </c>
      <c r="U545" s="6">
        <f t="shared" si="62"/>
        <v>16.194018679492928</v>
      </c>
    </row>
    <row r="546" spans="1:21" x14ac:dyDescent="0.3">
      <c r="A546" s="2">
        <v>45774</v>
      </c>
      <c r="B546" t="s">
        <v>15</v>
      </c>
      <c r="C546" t="s">
        <v>20</v>
      </c>
      <c r="D546" t="s">
        <v>25</v>
      </c>
      <c r="E546" t="s">
        <v>30</v>
      </c>
      <c r="F546">
        <v>106441</v>
      </c>
      <c r="G546">
        <v>7731</v>
      </c>
      <c r="H546">
        <v>1827</v>
      </c>
      <c r="I546">
        <v>1072</v>
      </c>
      <c r="J546">
        <v>449</v>
      </c>
      <c r="K546" s="4">
        <v>93059.67</v>
      </c>
      <c r="L546" s="4">
        <v>1626663.82</v>
      </c>
      <c r="M546" t="s">
        <v>31</v>
      </c>
      <c r="N546">
        <f t="shared" si="56"/>
        <v>1</v>
      </c>
      <c r="O546" t="str">
        <f>IF(AND(G546&lt;=F546,H546&lt;=G546,I546&lt;=H546,J546&lt;=I546),"OK","Check")</f>
        <v>OK</v>
      </c>
      <c r="P546" s="6">
        <f t="shared" si="57"/>
        <v>7.2631786623575501</v>
      </c>
      <c r="Q546" s="6">
        <f t="shared" si="58"/>
        <v>23.632130384167638</v>
      </c>
      <c r="R546" s="6">
        <f t="shared" si="59"/>
        <v>58.675424192665574</v>
      </c>
      <c r="S546" s="6">
        <f t="shared" si="60"/>
        <v>41.884328358208954</v>
      </c>
      <c r="T546" s="6">
        <f t="shared" si="61"/>
        <v>1647.9793556112977</v>
      </c>
      <c r="U546" s="6">
        <f t="shared" si="62"/>
        <v>17.479793556112977</v>
      </c>
    </row>
    <row r="547" spans="1:21" x14ac:dyDescent="0.3">
      <c r="A547" s="2">
        <v>45775</v>
      </c>
      <c r="B547" t="s">
        <v>15</v>
      </c>
      <c r="C547" t="s">
        <v>20</v>
      </c>
      <c r="D547" t="s">
        <v>25</v>
      </c>
      <c r="E547" t="s">
        <v>28</v>
      </c>
      <c r="F547">
        <v>108582</v>
      </c>
      <c r="G547">
        <v>6075</v>
      </c>
      <c r="H547">
        <v>1445</v>
      </c>
      <c r="I547">
        <v>861</v>
      </c>
      <c r="J547">
        <v>472</v>
      </c>
      <c r="K547" s="4">
        <v>61991.73</v>
      </c>
      <c r="L547" s="4">
        <v>2863429.47</v>
      </c>
      <c r="M547" t="s">
        <v>32</v>
      </c>
      <c r="N547">
        <f t="shared" si="56"/>
        <v>1</v>
      </c>
      <c r="O547" t="str">
        <f>IF(AND(G547&lt;=F547,H547&lt;=G547,I547&lt;=H547,J547&lt;=I547),"OK","Check")</f>
        <v>OK</v>
      </c>
      <c r="P547" s="6">
        <f t="shared" si="57"/>
        <v>5.5948499751340002</v>
      </c>
      <c r="Q547" s="6">
        <f t="shared" si="58"/>
        <v>23.786008230452673</v>
      </c>
      <c r="R547" s="6">
        <f t="shared" si="59"/>
        <v>59.584775086505189</v>
      </c>
      <c r="S547" s="6">
        <f t="shared" si="60"/>
        <v>54.819976771196288</v>
      </c>
      <c r="T547" s="6">
        <f t="shared" si="61"/>
        <v>4519.0507508017599</v>
      </c>
      <c r="U547" s="6">
        <f t="shared" si="62"/>
        <v>46.190507508017603</v>
      </c>
    </row>
    <row r="548" spans="1:21" x14ac:dyDescent="0.3">
      <c r="A548" s="2">
        <v>45776</v>
      </c>
      <c r="B548" t="s">
        <v>15</v>
      </c>
      <c r="C548" t="s">
        <v>20</v>
      </c>
      <c r="D548" t="s">
        <v>25</v>
      </c>
      <c r="E548" t="s">
        <v>28</v>
      </c>
      <c r="F548">
        <v>203313</v>
      </c>
      <c r="G548">
        <v>15538</v>
      </c>
      <c r="H548">
        <v>2353</v>
      </c>
      <c r="I548">
        <v>1144</v>
      </c>
      <c r="J548">
        <v>655</v>
      </c>
      <c r="K548" s="4">
        <v>145045.48000000001</v>
      </c>
      <c r="L548" s="4">
        <v>4987053.71</v>
      </c>
      <c r="M548" t="s">
        <v>34</v>
      </c>
      <c r="N548">
        <f t="shared" si="56"/>
        <v>1</v>
      </c>
      <c r="O548" t="str">
        <f>IF(AND(G548&lt;=F548,H548&lt;=G548,I548&lt;=H548,J548&lt;=I548),"OK","Check")</f>
        <v>OK</v>
      </c>
      <c r="P548" s="6">
        <f t="shared" si="57"/>
        <v>7.6424035846207579</v>
      </c>
      <c r="Q548" s="6">
        <f t="shared" si="58"/>
        <v>15.143519114429141</v>
      </c>
      <c r="R548" s="6">
        <f t="shared" si="59"/>
        <v>48.618784530386741</v>
      </c>
      <c r="S548" s="6">
        <f t="shared" si="60"/>
        <v>57.25524475524476</v>
      </c>
      <c r="T548" s="6">
        <f t="shared" si="61"/>
        <v>3338.2689553648961</v>
      </c>
      <c r="U548" s="6">
        <f t="shared" si="62"/>
        <v>34.382689553648966</v>
      </c>
    </row>
    <row r="549" spans="1:21" x14ac:dyDescent="0.3">
      <c r="A549" s="2">
        <v>45777</v>
      </c>
      <c r="B549" t="s">
        <v>15</v>
      </c>
      <c r="C549" t="s">
        <v>20</v>
      </c>
      <c r="D549" t="s">
        <v>25</v>
      </c>
      <c r="E549" t="s">
        <v>30</v>
      </c>
      <c r="F549">
        <v>220384</v>
      </c>
      <c r="G549">
        <v>8142</v>
      </c>
      <c r="H549">
        <v>1402</v>
      </c>
      <c r="I549">
        <v>907</v>
      </c>
      <c r="J549">
        <v>369</v>
      </c>
      <c r="K549" s="4">
        <v>152034.62</v>
      </c>
      <c r="L549" s="4">
        <v>2102559.65</v>
      </c>
      <c r="M549" t="s">
        <v>31</v>
      </c>
      <c r="N549">
        <f t="shared" si="56"/>
        <v>1</v>
      </c>
      <c r="O549" t="str">
        <f>IF(AND(G549&lt;=F549,H549&lt;=G549,I549&lt;=H549,J549&lt;=I549),"OK","Check")</f>
        <v>OK</v>
      </c>
      <c r="P549" s="6">
        <f t="shared" si="57"/>
        <v>3.6944605779003923</v>
      </c>
      <c r="Q549" s="6">
        <f t="shared" si="58"/>
        <v>17.219356423483173</v>
      </c>
      <c r="R549" s="6">
        <f t="shared" si="59"/>
        <v>64.693295292439373</v>
      </c>
      <c r="S549" s="6">
        <f t="shared" si="60"/>
        <v>40.683572216097026</v>
      </c>
      <c r="T549" s="6">
        <f t="shared" si="61"/>
        <v>1282.9479430408678</v>
      </c>
      <c r="U549" s="6">
        <f t="shared" si="62"/>
        <v>13.829479430408679</v>
      </c>
    </row>
    <row r="550" spans="1:21" x14ac:dyDescent="0.3">
      <c r="A550" s="2">
        <v>45778</v>
      </c>
      <c r="B550" t="s">
        <v>14</v>
      </c>
      <c r="C550" t="s">
        <v>19</v>
      </c>
      <c r="D550" t="s">
        <v>24</v>
      </c>
      <c r="E550" t="s">
        <v>86</v>
      </c>
      <c r="F550">
        <v>240139</v>
      </c>
      <c r="G550">
        <v>11309</v>
      </c>
      <c r="H550">
        <v>1987</v>
      </c>
      <c r="I550">
        <v>1165</v>
      </c>
      <c r="J550">
        <v>696</v>
      </c>
      <c r="K550" s="4">
        <v>180456.12</v>
      </c>
      <c r="L550" s="4">
        <v>4208817.8499999996</v>
      </c>
      <c r="M550" t="s">
        <v>31</v>
      </c>
      <c r="N550">
        <f t="shared" si="56"/>
        <v>1</v>
      </c>
      <c r="O550" t="str">
        <f>IF(AND(G550&lt;=F550,H550&lt;=G550,I550&lt;=H550,J550&lt;=I550),"OK","Check")</f>
        <v>OK</v>
      </c>
      <c r="P550" s="6">
        <f t="shared" si="57"/>
        <v>4.7093558314143058</v>
      </c>
      <c r="Q550" s="6">
        <f t="shared" si="58"/>
        <v>17.570076929878859</v>
      </c>
      <c r="R550" s="6">
        <f t="shared" si="59"/>
        <v>58.631102164066426</v>
      </c>
      <c r="S550" s="6">
        <f t="shared" si="60"/>
        <v>59.742489270386265</v>
      </c>
      <c r="T550" s="6">
        <f t="shared" si="61"/>
        <v>2232.3220348525724</v>
      </c>
      <c r="U550" s="6">
        <f t="shared" si="62"/>
        <v>23.323220348525723</v>
      </c>
    </row>
    <row r="551" spans="1:21" x14ac:dyDescent="0.3">
      <c r="A551" s="2">
        <v>45778</v>
      </c>
      <c r="B551" t="s">
        <v>15</v>
      </c>
      <c r="C551" t="s">
        <v>20</v>
      </c>
      <c r="D551" t="s">
        <v>25</v>
      </c>
      <c r="E551" t="s">
        <v>28</v>
      </c>
      <c r="F551">
        <v>289903</v>
      </c>
      <c r="G551">
        <v>22942</v>
      </c>
      <c r="H551">
        <v>4003</v>
      </c>
      <c r="I551">
        <v>2536</v>
      </c>
      <c r="J551">
        <v>1136</v>
      </c>
      <c r="K551" s="4">
        <v>276281.53000000003</v>
      </c>
      <c r="L551" s="4">
        <v>6468438.0599999996</v>
      </c>
      <c r="M551" t="s">
        <v>35</v>
      </c>
      <c r="N551">
        <f t="shared" si="56"/>
        <v>1</v>
      </c>
      <c r="O551" t="str">
        <f>IF(AND(G551&lt;=F551,H551&lt;=G551,I551&lt;=H551,J551&lt;=I551),"OK","Check")</f>
        <v>OK</v>
      </c>
      <c r="P551" s="6">
        <f t="shared" si="57"/>
        <v>7.9136814727684772</v>
      </c>
      <c r="Q551" s="6">
        <f t="shared" si="58"/>
        <v>17.448348008020226</v>
      </c>
      <c r="R551" s="6">
        <f t="shared" si="59"/>
        <v>63.352485635773171</v>
      </c>
      <c r="S551" s="6">
        <f t="shared" si="60"/>
        <v>44.794952681388011</v>
      </c>
      <c r="T551" s="6">
        <f t="shared" si="61"/>
        <v>2241.2488196369836</v>
      </c>
      <c r="U551" s="6">
        <f t="shared" si="62"/>
        <v>23.412488196369836</v>
      </c>
    </row>
    <row r="552" spans="1:21" x14ac:dyDescent="0.3">
      <c r="A552" s="2">
        <v>45779</v>
      </c>
      <c r="B552" t="s">
        <v>14</v>
      </c>
      <c r="C552" t="s">
        <v>19</v>
      </c>
      <c r="D552" t="s">
        <v>24</v>
      </c>
      <c r="E552" t="s">
        <v>86</v>
      </c>
      <c r="F552">
        <v>145953</v>
      </c>
      <c r="G552">
        <v>6934</v>
      </c>
      <c r="H552">
        <v>1681</v>
      </c>
      <c r="I552">
        <v>974</v>
      </c>
      <c r="J552">
        <v>435</v>
      </c>
      <c r="K552" s="4">
        <v>80170.2</v>
      </c>
      <c r="L552" s="4">
        <v>2531628.96</v>
      </c>
      <c r="M552" t="s">
        <v>34</v>
      </c>
      <c r="N552">
        <f t="shared" si="56"/>
        <v>1</v>
      </c>
      <c r="O552" t="str">
        <f>IF(AND(G552&lt;=F552,H552&lt;=G552,I552&lt;=H552,J552&lt;=I552),"OK","Check")</f>
        <v>OK</v>
      </c>
      <c r="P552" s="6">
        <f t="shared" si="57"/>
        <v>4.750844449925661</v>
      </c>
      <c r="Q552" s="6">
        <f t="shared" si="58"/>
        <v>24.242861263340064</v>
      </c>
      <c r="R552" s="6">
        <f t="shared" si="59"/>
        <v>57.94170136823319</v>
      </c>
      <c r="S552" s="6">
        <f t="shared" si="60"/>
        <v>44.661190965092402</v>
      </c>
      <c r="T552" s="6">
        <f t="shared" si="61"/>
        <v>3057.8179423276974</v>
      </c>
      <c r="U552" s="6">
        <f t="shared" si="62"/>
        <v>31.578179423276978</v>
      </c>
    </row>
    <row r="553" spans="1:21" x14ac:dyDescent="0.3">
      <c r="A553" s="2">
        <v>45779</v>
      </c>
      <c r="B553" t="s">
        <v>15</v>
      </c>
      <c r="C553" t="s">
        <v>20</v>
      </c>
      <c r="D553" t="s">
        <v>25</v>
      </c>
      <c r="E553" t="s">
        <v>29</v>
      </c>
      <c r="F553">
        <v>224774</v>
      </c>
      <c r="G553">
        <v>8087</v>
      </c>
      <c r="H553">
        <v>1510</v>
      </c>
      <c r="I553">
        <v>927</v>
      </c>
      <c r="J553">
        <v>437</v>
      </c>
      <c r="K553" s="4">
        <v>144246.98000000001</v>
      </c>
      <c r="L553" s="4">
        <v>2806122.06</v>
      </c>
      <c r="M553" t="s">
        <v>31</v>
      </c>
      <c r="N553">
        <f t="shared" si="56"/>
        <v>1</v>
      </c>
      <c r="O553" t="str">
        <f>IF(AND(G553&lt;=F553,H553&lt;=G553,I553&lt;=H553,J553&lt;=I553),"OK","Check")</f>
        <v>OK</v>
      </c>
      <c r="P553" s="6">
        <f t="shared" si="57"/>
        <v>3.5978360486533143</v>
      </c>
      <c r="Q553" s="6">
        <f t="shared" si="58"/>
        <v>18.671942623964387</v>
      </c>
      <c r="R553" s="6">
        <f t="shared" si="59"/>
        <v>61.390728476821188</v>
      </c>
      <c r="S553" s="6">
        <f t="shared" si="60"/>
        <v>47.141316073354908</v>
      </c>
      <c r="T553" s="6">
        <f t="shared" si="61"/>
        <v>1845.3593135884023</v>
      </c>
      <c r="U553" s="6">
        <f t="shared" si="62"/>
        <v>19.453593135884024</v>
      </c>
    </row>
    <row r="554" spans="1:21" x14ac:dyDescent="0.3">
      <c r="A554" s="2">
        <v>45780</v>
      </c>
      <c r="B554" t="s">
        <v>14</v>
      </c>
      <c r="C554" t="s">
        <v>19</v>
      </c>
      <c r="D554" t="s">
        <v>24</v>
      </c>
      <c r="E554" t="s">
        <v>86</v>
      </c>
      <c r="F554">
        <v>125764</v>
      </c>
      <c r="G554">
        <v>4601</v>
      </c>
      <c r="H554">
        <v>978</v>
      </c>
      <c r="I554">
        <v>630</v>
      </c>
      <c r="J554">
        <v>302</v>
      </c>
      <c r="K554" s="4">
        <v>67771.58</v>
      </c>
      <c r="L554" s="4">
        <v>2349380.39</v>
      </c>
      <c r="M554" t="s">
        <v>33</v>
      </c>
      <c r="N554">
        <f t="shared" si="56"/>
        <v>1</v>
      </c>
      <c r="O554" t="str">
        <f>IF(AND(G554&lt;=F554,H554&lt;=G554,I554&lt;=H554,J554&lt;=I554),"OK","Check")</f>
        <v>OK</v>
      </c>
      <c r="P554" s="6">
        <f t="shared" si="57"/>
        <v>3.6584396170605258</v>
      </c>
      <c r="Q554" s="6">
        <f t="shared" si="58"/>
        <v>21.256248641599651</v>
      </c>
      <c r="R554" s="6">
        <f t="shared" si="59"/>
        <v>64.417177914110425</v>
      </c>
      <c r="S554" s="6">
        <f t="shared" si="60"/>
        <v>47.936507936507937</v>
      </c>
      <c r="T554" s="6">
        <f t="shared" si="61"/>
        <v>3366.6159325192061</v>
      </c>
      <c r="U554" s="6">
        <f t="shared" si="62"/>
        <v>34.666159325192062</v>
      </c>
    </row>
    <row r="555" spans="1:21" x14ac:dyDescent="0.3">
      <c r="A555" s="2">
        <v>45780</v>
      </c>
      <c r="B555" t="s">
        <v>15</v>
      </c>
      <c r="C555" t="s">
        <v>20</v>
      </c>
      <c r="D555" t="s">
        <v>25</v>
      </c>
      <c r="E555" t="s">
        <v>28</v>
      </c>
      <c r="F555">
        <v>283215</v>
      </c>
      <c r="G555">
        <v>9156</v>
      </c>
      <c r="H555">
        <v>1720</v>
      </c>
      <c r="I555">
        <v>956</v>
      </c>
      <c r="J555">
        <v>382</v>
      </c>
      <c r="K555" s="4">
        <v>274488.3</v>
      </c>
      <c r="L555" s="4">
        <v>1491751.11</v>
      </c>
      <c r="M555" t="s">
        <v>35</v>
      </c>
      <c r="N555">
        <f t="shared" si="56"/>
        <v>1</v>
      </c>
      <c r="O555" t="str">
        <f>IF(AND(G555&lt;=F555,H555&lt;=G555,I555&lt;=H555,J555&lt;=I555),"OK","Check")</f>
        <v>OK</v>
      </c>
      <c r="P555" s="6">
        <f t="shared" si="57"/>
        <v>3.2328796144272016</v>
      </c>
      <c r="Q555" s="6">
        <f t="shared" si="58"/>
        <v>18.785495849716032</v>
      </c>
      <c r="R555" s="6">
        <f t="shared" si="59"/>
        <v>55.581395348837212</v>
      </c>
      <c r="S555" s="6">
        <f t="shared" si="60"/>
        <v>39.9581589958159</v>
      </c>
      <c r="T555" s="6">
        <f t="shared" si="61"/>
        <v>443.46619145515496</v>
      </c>
      <c r="U555" s="6">
        <f t="shared" si="62"/>
        <v>5.4346619145515502</v>
      </c>
    </row>
    <row r="556" spans="1:21" x14ac:dyDescent="0.3">
      <c r="A556" s="2">
        <v>45781</v>
      </c>
      <c r="B556" t="s">
        <v>14</v>
      </c>
      <c r="C556" t="s">
        <v>19</v>
      </c>
      <c r="D556" t="s">
        <v>24</v>
      </c>
      <c r="E556" t="s">
        <v>86</v>
      </c>
      <c r="F556">
        <v>254360</v>
      </c>
      <c r="G556">
        <v>11109</v>
      </c>
      <c r="H556">
        <v>2734</v>
      </c>
      <c r="I556">
        <v>1480</v>
      </c>
      <c r="J556">
        <v>668</v>
      </c>
      <c r="K556" s="4">
        <v>226644.84</v>
      </c>
      <c r="L556" s="4">
        <v>2792259.85</v>
      </c>
      <c r="M556" t="s">
        <v>33</v>
      </c>
      <c r="N556">
        <f t="shared" si="56"/>
        <v>1</v>
      </c>
      <c r="O556" t="str">
        <f>IF(AND(G556&lt;=F556,H556&lt;=G556,I556&lt;=H556,J556&lt;=I556),"OK","Check")</f>
        <v>OK</v>
      </c>
      <c r="P556" s="6">
        <f t="shared" si="57"/>
        <v>4.3674319861613462</v>
      </c>
      <c r="Q556" s="6">
        <f t="shared" si="58"/>
        <v>24.610676028445404</v>
      </c>
      <c r="R556" s="6">
        <f t="shared" si="59"/>
        <v>54.133138258961232</v>
      </c>
      <c r="S556" s="6">
        <f t="shared" si="60"/>
        <v>45.135135135135137</v>
      </c>
      <c r="T556" s="6">
        <f t="shared" si="61"/>
        <v>1131.9979797466381</v>
      </c>
      <c r="U556" s="6">
        <f t="shared" si="62"/>
        <v>12.319979797466381</v>
      </c>
    </row>
    <row r="557" spans="1:21" x14ac:dyDescent="0.3">
      <c r="A557" s="2">
        <v>45781</v>
      </c>
      <c r="B557" t="s">
        <v>15</v>
      </c>
      <c r="C557" t="s">
        <v>20</v>
      </c>
      <c r="D557" t="s">
        <v>25</v>
      </c>
      <c r="E557" t="s">
        <v>30</v>
      </c>
      <c r="F557">
        <v>67770</v>
      </c>
      <c r="G557">
        <v>4813</v>
      </c>
      <c r="H557">
        <v>744</v>
      </c>
      <c r="I557">
        <v>355</v>
      </c>
      <c r="J557">
        <v>155</v>
      </c>
      <c r="K557" s="4">
        <v>62523.21</v>
      </c>
      <c r="L557" s="4">
        <v>1032514.49</v>
      </c>
      <c r="M557" t="s">
        <v>32</v>
      </c>
      <c r="N557">
        <f t="shared" si="56"/>
        <v>1</v>
      </c>
      <c r="O557" t="str">
        <f>IF(AND(G557&lt;=F557,H557&lt;=G557,I557&lt;=H557,J557&lt;=I557),"OK","Check")</f>
        <v>OK</v>
      </c>
      <c r="P557" s="6">
        <f t="shared" si="57"/>
        <v>7.1019625202892138</v>
      </c>
      <c r="Q557" s="6">
        <f t="shared" si="58"/>
        <v>15.458134219821318</v>
      </c>
      <c r="R557" s="6">
        <f t="shared" si="59"/>
        <v>47.715053763440864</v>
      </c>
      <c r="S557" s="6">
        <f t="shared" si="60"/>
        <v>43.661971830985912</v>
      </c>
      <c r="T557" s="6">
        <f t="shared" si="61"/>
        <v>1551.4099164134407</v>
      </c>
      <c r="U557" s="6">
        <f t="shared" si="62"/>
        <v>16.514099164134407</v>
      </c>
    </row>
    <row r="558" spans="1:21" x14ac:dyDescent="0.3">
      <c r="A558" s="2">
        <v>45782</v>
      </c>
      <c r="B558" t="s">
        <v>14</v>
      </c>
      <c r="C558" t="s">
        <v>19</v>
      </c>
      <c r="D558" t="s">
        <v>24</v>
      </c>
      <c r="E558" t="s">
        <v>86</v>
      </c>
      <c r="F558">
        <v>208578</v>
      </c>
      <c r="G558">
        <v>12706</v>
      </c>
      <c r="H558">
        <v>2381</v>
      </c>
      <c r="I558">
        <v>1311</v>
      </c>
      <c r="J558">
        <v>655</v>
      </c>
      <c r="K558" s="4">
        <v>116823.1</v>
      </c>
      <c r="L558" s="4">
        <v>2987311.77</v>
      </c>
      <c r="M558" t="s">
        <v>34</v>
      </c>
      <c r="N558">
        <f t="shared" si="56"/>
        <v>1</v>
      </c>
      <c r="O558" t="str">
        <f>IF(AND(G558&lt;=F558,H558&lt;=G558,I558&lt;=H558,J558&lt;=I558),"OK","Check")</f>
        <v>OK</v>
      </c>
      <c r="P558" s="6">
        <f t="shared" si="57"/>
        <v>6.0917258771298988</v>
      </c>
      <c r="Q558" s="6">
        <f t="shared" si="58"/>
        <v>18.739178340941287</v>
      </c>
      <c r="R558" s="6">
        <f t="shared" si="59"/>
        <v>55.06089878202436</v>
      </c>
      <c r="S558" s="6">
        <f t="shared" si="60"/>
        <v>49.961861174675818</v>
      </c>
      <c r="T558" s="6">
        <f t="shared" si="61"/>
        <v>2457.1242074555457</v>
      </c>
      <c r="U558" s="6">
        <f t="shared" si="62"/>
        <v>25.57124207455546</v>
      </c>
    </row>
    <row r="559" spans="1:21" x14ac:dyDescent="0.3">
      <c r="A559" s="2">
        <v>45782</v>
      </c>
      <c r="B559" t="s">
        <v>15</v>
      </c>
      <c r="C559" t="s">
        <v>20</v>
      </c>
      <c r="D559" t="s">
        <v>25</v>
      </c>
      <c r="E559" t="s">
        <v>28</v>
      </c>
      <c r="F559">
        <v>104892</v>
      </c>
      <c r="G559">
        <v>8197</v>
      </c>
      <c r="H559">
        <v>1255</v>
      </c>
      <c r="I559">
        <v>616</v>
      </c>
      <c r="J559">
        <v>347</v>
      </c>
      <c r="K559" s="4">
        <v>51518.58</v>
      </c>
      <c r="L559" s="4">
        <v>2149275.48</v>
      </c>
      <c r="M559" t="s">
        <v>35</v>
      </c>
      <c r="N559">
        <f t="shared" si="56"/>
        <v>1</v>
      </c>
      <c r="O559" t="str">
        <f>IF(AND(G559&lt;=F559,H559&lt;=G559,I559&lt;=H559,J559&lt;=I559),"OK","Check")</f>
        <v>OK</v>
      </c>
      <c r="P559" s="6">
        <f t="shared" si="57"/>
        <v>7.8147046485909311</v>
      </c>
      <c r="Q559" s="6">
        <f t="shared" si="58"/>
        <v>15.310479443698915</v>
      </c>
      <c r="R559" s="6">
        <f t="shared" si="59"/>
        <v>49.083665338645417</v>
      </c>
      <c r="S559" s="6">
        <f t="shared" si="60"/>
        <v>56.331168831168831</v>
      </c>
      <c r="T559" s="6">
        <f t="shared" si="61"/>
        <v>4071.8453420105911</v>
      </c>
      <c r="U559" s="6">
        <f t="shared" si="62"/>
        <v>41.718453420105909</v>
      </c>
    </row>
    <row r="560" spans="1:21" x14ac:dyDescent="0.3">
      <c r="A560" s="2">
        <v>45783</v>
      </c>
      <c r="B560" t="s">
        <v>14</v>
      </c>
      <c r="C560" t="s">
        <v>19</v>
      </c>
      <c r="D560" t="s">
        <v>24</v>
      </c>
      <c r="E560" t="s">
        <v>86</v>
      </c>
      <c r="F560">
        <v>174201</v>
      </c>
      <c r="G560">
        <v>12488</v>
      </c>
      <c r="H560">
        <v>2889</v>
      </c>
      <c r="I560">
        <v>1838</v>
      </c>
      <c r="J560">
        <v>796</v>
      </c>
      <c r="K560" s="4">
        <v>133968.34</v>
      </c>
      <c r="L560" s="4">
        <v>4993434.2300000004</v>
      </c>
      <c r="M560" t="s">
        <v>34</v>
      </c>
      <c r="N560">
        <f t="shared" si="56"/>
        <v>1</v>
      </c>
      <c r="O560" t="str">
        <f>IF(AND(G560&lt;=F560,H560&lt;=G560,I560&lt;=H560,J560&lt;=I560),"OK","Check")</f>
        <v>OK</v>
      </c>
      <c r="P560" s="6">
        <f t="shared" si="57"/>
        <v>7.16873037468212</v>
      </c>
      <c r="Q560" s="6">
        <f t="shared" si="58"/>
        <v>23.134208840486867</v>
      </c>
      <c r="R560" s="6">
        <f t="shared" si="59"/>
        <v>63.620629975770157</v>
      </c>
      <c r="S560" s="6">
        <f t="shared" si="60"/>
        <v>43.307943416757347</v>
      </c>
      <c r="T560" s="6">
        <f t="shared" si="61"/>
        <v>3627.3241050833358</v>
      </c>
      <c r="U560" s="6">
        <f t="shared" si="62"/>
        <v>37.273241050833356</v>
      </c>
    </row>
    <row r="561" spans="1:21" x14ac:dyDescent="0.3">
      <c r="A561" s="2">
        <v>45783</v>
      </c>
      <c r="B561" t="s">
        <v>15</v>
      </c>
      <c r="C561" t="s">
        <v>20</v>
      </c>
      <c r="D561" t="s">
        <v>25</v>
      </c>
      <c r="E561" t="s">
        <v>28</v>
      </c>
      <c r="F561">
        <v>204932</v>
      </c>
      <c r="G561">
        <v>9551</v>
      </c>
      <c r="H561">
        <v>2028</v>
      </c>
      <c r="I561">
        <v>1175</v>
      </c>
      <c r="J561">
        <v>688</v>
      </c>
      <c r="K561" s="4">
        <v>119604.48</v>
      </c>
      <c r="L561" s="4">
        <v>2530463.62</v>
      </c>
      <c r="M561" t="s">
        <v>32</v>
      </c>
      <c r="N561">
        <f t="shared" si="56"/>
        <v>1</v>
      </c>
      <c r="O561" t="str">
        <f>IF(AND(G561&lt;=F561,H561&lt;=G561,I561&lt;=H561,J561&lt;=I561),"OK","Check")</f>
        <v>OK</v>
      </c>
      <c r="P561" s="6">
        <f t="shared" si="57"/>
        <v>4.6605703355259305</v>
      </c>
      <c r="Q561" s="6">
        <f t="shared" si="58"/>
        <v>21.23337870380065</v>
      </c>
      <c r="R561" s="6">
        <f t="shared" si="59"/>
        <v>57.938856015779095</v>
      </c>
      <c r="S561" s="6">
        <f t="shared" si="60"/>
        <v>58.553191489361701</v>
      </c>
      <c r="T561" s="6">
        <f t="shared" si="61"/>
        <v>2015.6930074860074</v>
      </c>
      <c r="U561" s="6">
        <f t="shared" si="62"/>
        <v>21.156930074860075</v>
      </c>
    </row>
    <row r="562" spans="1:21" x14ac:dyDescent="0.3">
      <c r="A562" s="2">
        <v>45784</v>
      </c>
      <c r="B562" t="s">
        <v>14</v>
      </c>
      <c r="C562" t="s">
        <v>19</v>
      </c>
      <c r="D562" t="s">
        <v>24</v>
      </c>
      <c r="E562" t="s">
        <v>86</v>
      </c>
      <c r="F562">
        <v>281251</v>
      </c>
      <c r="G562">
        <v>18428</v>
      </c>
      <c r="H562">
        <v>4606</v>
      </c>
      <c r="I562">
        <v>2913</v>
      </c>
      <c r="J562">
        <v>1585</v>
      </c>
      <c r="K562" s="4">
        <v>223349.7</v>
      </c>
      <c r="L562" s="4">
        <v>7253636.4699999997</v>
      </c>
      <c r="M562" t="s">
        <v>31</v>
      </c>
      <c r="N562">
        <f t="shared" si="56"/>
        <v>1</v>
      </c>
      <c r="O562" t="str">
        <f>IF(AND(G562&lt;=F562,H562&lt;=G562,I562&lt;=H562,J562&lt;=I562),"OK","Check")</f>
        <v>OK</v>
      </c>
      <c r="P562" s="6">
        <f t="shared" si="57"/>
        <v>6.5521544812285111</v>
      </c>
      <c r="Q562" s="6">
        <f t="shared" si="58"/>
        <v>24.994573475146517</v>
      </c>
      <c r="R562" s="6">
        <f t="shared" si="59"/>
        <v>63.243595310464606</v>
      </c>
      <c r="S562" s="6">
        <f t="shared" si="60"/>
        <v>54.411259869550285</v>
      </c>
      <c r="T562" s="6">
        <f t="shared" si="61"/>
        <v>3147.6589267861114</v>
      </c>
      <c r="U562" s="6">
        <f t="shared" si="62"/>
        <v>32.476589267861115</v>
      </c>
    </row>
    <row r="563" spans="1:21" x14ac:dyDescent="0.3">
      <c r="A563" s="2">
        <v>45784</v>
      </c>
      <c r="B563" t="s">
        <v>15</v>
      </c>
      <c r="C563" t="s">
        <v>20</v>
      </c>
      <c r="D563" t="s">
        <v>25</v>
      </c>
      <c r="E563" t="s">
        <v>28</v>
      </c>
      <c r="F563">
        <v>126647</v>
      </c>
      <c r="G563">
        <v>7408</v>
      </c>
      <c r="H563">
        <v>1738</v>
      </c>
      <c r="I563">
        <v>883</v>
      </c>
      <c r="J563">
        <v>464</v>
      </c>
      <c r="K563" s="4">
        <v>97271.17</v>
      </c>
      <c r="L563" s="4">
        <v>1785615.46</v>
      </c>
      <c r="M563" t="s">
        <v>31</v>
      </c>
      <c r="N563">
        <f t="shared" si="56"/>
        <v>1</v>
      </c>
      <c r="O563" t="str">
        <f>IF(AND(G563&lt;=F563,H563&lt;=G563,I563&lt;=H563,J563&lt;=I563),"OK","Check")</f>
        <v>OK</v>
      </c>
      <c r="P563" s="6">
        <f t="shared" si="57"/>
        <v>5.8493292379606308</v>
      </c>
      <c r="Q563" s="6">
        <f t="shared" si="58"/>
        <v>23.461123110151188</v>
      </c>
      <c r="R563" s="6">
        <f t="shared" si="59"/>
        <v>50.805523590333713</v>
      </c>
      <c r="S563" s="6">
        <f t="shared" si="60"/>
        <v>52.54813137032842</v>
      </c>
      <c r="T563" s="6">
        <f t="shared" si="61"/>
        <v>1735.7088333573042</v>
      </c>
      <c r="U563" s="6">
        <f t="shared" si="62"/>
        <v>18.357088333573042</v>
      </c>
    </row>
    <row r="564" spans="1:21" x14ac:dyDescent="0.3">
      <c r="A564" s="2">
        <v>45785</v>
      </c>
      <c r="B564" t="s">
        <v>14</v>
      </c>
      <c r="C564" t="s">
        <v>19</v>
      </c>
      <c r="D564" t="s">
        <v>24</v>
      </c>
      <c r="E564" t="s">
        <v>86</v>
      </c>
      <c r="F564">
        <v>97979</v>
      </c>
      <c r="G564">
        <v>3175</v>
      </c>
      <c r="H564">
        <v>583</v>
      </c>
      <c r="I564">
        <v>301</v>
      </c>
      <c r="J564">
        <v>168</v>
      </c>
      <c r="K564" s="4">
        <v>58564.33</v>
      </c>
      <c r="L564" s="4">
        <v>529563.73</v>
      </c>
      <c r="M564" t="s">
        <v>35</v>
      </c>
      <c r="N564">
        <f t="shared" si="56"/>
        <v>1</v>
      </c>
      <c r="O564" t="str">
        <f>IF(AND(G564&lt;=F564,H564&lt;=G564,I564&lt;=H564,J564&lt;=I564),"OK","Check")</f>
        <v>OK</v>
      </c>
      <c r="P564" s="6">
        <f t="shared" si="57"/>
        <v>3.2404903091478787</v>
      </c>
      <c r="Q564" s="6">
        <f t="shared" si="58"/>
        <v>18.362204724409448</v>
      </c>
      <c r="R564" s="6">
        <f t="shared" si="59"/>
        <v>51.629502572898801</v>
      </c>
      <c r="S564" s="6">
        <f t="shared" si="60"/>
        <v>55.813953488372093</v>
      </c>
      <c r="T564" s="6">
        <f t="shared" si="61"/>
        <v>804.24278737586508</v>
      </c>
      <c r="U564" s="6">
        <f t="shared" si="62"/>
        <v>9.0424278737586512</v>
      </c>
    </row>
    <row r="565" spans="1:21" x14ac:dyDescent="0.3">
      <c r="A565" s="2">
        <v>45785</v>
      </c>
      <c r="B565" t="s">
        <v>15</v>
      </c>
      <c r="C565" t="s">
        <v>20</v>
      </c>
      <c r="D565" t="s">
        <v>25</v>
      </c>
      <c r="E565" t="s">
        <v>30</v>
      </c>
      <c r="F565">
        <v>154994</v>
      </c>
      <c r="G565">
        <v>5796</v>
      </c>
      <c r="H565">
        <v>1347</v>
      </c>
      <c r="I565">
        <v>863</v>
      </c>
      <c r="J565">
        <v>431</v>
      </c>
      <c r="K565" s="4">
        <v>121038.69</v>
      </c>
      <c r="L565" s="4">
        <v>2196417.2200000002</v>
      </c>
      <c r="M565" t="s">
        <v>32</v>
      </c>
      <c r="N565">
        <f t="shared" si="56"/>
        <v>1</v>
      </c>
      <c r="O565" t="str">
        <f>IF(AND(G565&lt;=F565,H565&lt;=G565,I565&lt;=H565,J565&lt;=I565),"OK","Check")</f>
        <v>OK</v>
      </c>
      <c r="P565" s="6">
        <f t="shared" si="57"/>
        <v>3.7394995935326532</v>
      </c>
      <c r="Q565" s="6">
        <f t="shared" si="58"/>
        <v>23.240165631469981</v>
      </c>
      <c r="R565" s="6">
        <f t="shared" si="59"/>
        <v>64.068299925760954</v>
      </c>
      <c r="S565" s="6">
        <f t="shared" si="60"/>
        <v>49.942062572421783</v>
      </c>
      <c r="T565" s="6">
        <f t="shared" si="61"/>
        <v>1714.6406078915761</v>
      </c>
      <c r="U565" s="6">
        <f t="shared" si="62"/>
        <v>18.14640607891576</v>
      </c>
    </row>
    <row r="566" spans="1:21" x14ac:dyDescent="0.3">
      <c r="A566" s="2">
        <v>45786</v>
      </c>
      <c r="B566" t="s">
        <v>14</v>
      </c>
      <c r="C566" t="s">
        <v>19</v>
      </c>
      <c r="D566" t="s">
        <v>24</v>
      </c>
      <c r="E566" t="s">
        <v>86</v>
      </c>
      <c r="F566">
        <v>258980</v>
      </c>
      <c r="G566">
        <v>19662</v>
      </c>
      <c r="H566">
        <v>3598</v>
      </c>
      <c r="I566">
        <v>1763</v>
      </c>
      <c r="J566">
        <v>758</v>
      </c>
      <c r="K566" s="4">
        <v>228071.85</v>
      </c>
      <c r="L566" s="4">
        <v>4909073.6100000003</v>
      </c>
      <c r="M566" t="s">
        <v>33</v>
      </c>
      <c r="N566">
        <f t="shared" si="56"/>
        <v>1</v>
      </c>
      <c r="O566" t="str">
        <f>IF(AND(G566&lt;=F566,H566&lt;=G566,I566&lt;=H566,J566&lt;=I566),"OK","Check")</f>
        <v>OK</v>
      </c>
      <c r="P566" s="6">
        <f t="shared" si="57"/>
        <v>7.5920920534404202</v>
      </c>
      <c r="Q566" s="6">
        <f t="shared" si="58"/>
        <v>18.299257450920557</v>
      </c>
      <c r="R566" s="6">
        <f t="shared" si="59"/>
        <v>48.999444135630903</v>
      </c>
      <c r="S566" s="6">
        <f t="shared" si="60"/>
        <v>42.99489506522972</v>
      </c>
      <c r="T566" s="6">
        <f t="shared" si="61"/>
        <v>2052.4241637010446</v>
      </c>
      <c r="U566" s="6">
        <f t="shared" si="62"/>
        <v>21.524241637010444</v>
      </c>
    </row>
    <row r="567" spans="1:21" x14ac:dyDescent="0.3">
      <c r="A567" s="2">
        <v>45786</v>
      </c>
      <c r="B567" t="s">
        <v>15</v>
      </c>
      <c r="C567" t="s">
        <v>20</v>
      </c>
      <c r="D567" t="s">
        <v>25</v>
      </c>
      <c r="E567" t="s">
        <v>28</v>
      </c>
      <c r="F567">
        <v>108431</v>
      </c>
      <c r="G567">
        <v>6177</v>
      </c>
      <c r="H567">
        <v>1134</v>
      </c>
      <c r="I567">
        <v>595</v>
      </c>
      <c r="J567">
        <v>240</v>
      </c>
      <c r="K567" s="4">
        <v>100523.61</v>
      </c>
      <c r="L567" s="4">
        <v>897404.11</v>
      </c>
      <c r="M567" t="s">
        <v>35</v>
      </c>
      <c r="N567">
        <f t="shared" si="56"/>
        <v>1</v>
      </c>
      <c r="O567" t="str">
        <f>IF(AND(G567&lt;=F567,H567&lt;=G567,I567&lt;=H567,J567&lt;=I567),"OK","Check")</f>
        <v>OK</v>
      </c>
      <c r="P567" s="6">
        <f t="shared" si="57"/>
        <v>5.6967103503610588</v>
      </c>
      <c r="Q567" s="6">
        <f t="shared" si="58"/>
        <v>18.358426420592522</v>
      </c>
      <c r="R567" s="6">
        <f t="shared" si="59"/>
        <v>52.469135802469133</v>
      </c>
      <c r="S567" s="6">
        <f t="shared" si="60"/>
        <v>40.336134453781511</v>
      </c>
      <c r="T567" s="6">
        <f t="shared" si="61"/>
        <v>792.72968808024302</v>
      </c>
      <c r="U567" s="6">
        <f t="shared" si="62"/>
        <v>8.9272968808024302</v>
      </c>
    </row>
    <row r="568" spans="1:21" x14ac:dyDescent="0.3">
      <c r="A568" s="2">
        <v>45787</v>
      </c>
      <c r="B568" t="s">
        <v>14</v>
      </c>
      <c r="C568" t="s">
        <v>19</v>
      </c>
      <c r="D568" t="s">
        <v>24</v>
      </c>
      <c r="E568" t="s">
        <v>86</v>
      </c>
      <c r="F568">
        <v>51259</v>
      </c>
      <c r="G568">
        <v>3592</v>
      </c>
      <c r="H568">
        <v>541</v>
      </c>
      <c r="I568">
        <v>312</v>
      </c>
      <c r="J568">
        <v>131</v>
      </c>
      <c r="K568" s="4">
        <v>24423.78</v>
      </c>
      <c r="L568" s="4">
        <v>722680.3</v>
      </c>
      <c r="M568" t="s">
        <v>31</v>
      </c>
      <c r="N568">
        <f t="shared" si="56"/>
        <v>1</v>
      </c>
      <c r="O568" t="str">
        <f>IF(AND(G568&lt;=F568,H568&lt;=G568,I568&lt;=H568,J568&lt;=I568),"OK","Check")</f>
        <v>OK</v>
      </c>
      <c r="P568" s="6">
        <f t="shared" si="57"/>
        <v>7.0075498936772078</v>
      </c>
      <c r="Q568" s="6">
        <f t="shared" si="58"/>
        <v>15.061247216035634</v>
      </c>
      <c r="R568" s="6">
        <f t="shared" si="59"/>
        <v>57.670979667282808</v>
      </c>
      <c r="S568" s="6">
        <f t="shared" si="60"/>
        <v>41.987179487179489</v>
      </c>
      <c r="T568" s="6">
        <f t="shared" si="61"/>
        <v>2858.920773115382</v>
      </c>
      <c r="U568" s="6">
        <f t="shared" si="62"/>
        <v>29.58920773115382</v>
      </c>
    </row>
    <row r="569" spans="1:21" x14ac:dyDescent="0.3">
      <c r="A569" s="2">
        <v>45787</v>
      </c>
      <c r="B569" t="s">
        <v>15</v>
      </c>
      <c r="C569" t="s">
        <v>20</v>
      </c>
      <c r="D569" t="s">
        <v>25</v>
      </c>
      <c r="E569" t="s">
        <v>28</v>
      </c>
      <c r="F569">
        <v>128908</v>
      </c>
      <c r="G569">
        <v>5068</v>
      </c>
      <c r="H569">
        <v>994</v>
      </c>
      <c r="I569">
        <v>535</v>
      </c>
      <c r="J569">
        <v>273</v>
      </c>
      <c r="K569" s="4">
        <v>101891.88</v>
      </c>
      <c r="L569" s="4">
        <v>1320648.3600000001</v>
      </c>
      <c r="M569" t="s">
        <v>31</v>
      </c>
      <c r="N569">
        <f t="shared" si="56"/>
        <v>1</v>
      </c>
      <c r="O569" t="str">
        <f>IF(AND(G569&lt;=F569,H569&lt;=G569,I569&lt;=H569,J569&lt;=I569),"OK","Check")</f>
        <v>OK</v>
      </c>
      <c r="P569" s="6">
        <f t="shared" si="57"/>
        <v>3.9314860210382601</v>
      </c>
      <c r="Q569" s="6">
        <f t="shared" si="58"/>
        <v>19.613259668508288</v>
      </c>
      <c r="R569" s="6">
        <f t="shared" si="59"/>
        <v>53.822937625754527</v>
      </c>
      <c r="S569" s="6">
        <f t="shared" si="60"/>
        <v>51.028037383177569</v>
      </c>
      <c r="T569" s="6">
        <f t="shared" si="61"/>
        <v>1196.1271889379211</v>
      </c>
      <c r="U569" s="6">
        <f t="shared" si="62"/>
        <v>12.961271889379214</v>
      </c>
    </row>
    <row r="570" spans="1:21" x14ac:dyDescent="0.3">
      <c r="A570" s="2">
        <v>45788</v>
      </c>
      <c r="B570" t="s">
        <v>14</v>
      </c>
      <c r="C570" t="s">
        <v>19</v>
      </c>
      <c r="D570" t="s">
        <v>24</v>
      </c>
      <c r="E570" t="s">
        <v>86</v>
      </c>
      <c r="F570">
        <v>107884</v>
      </c>
      <c r="G570">
        <v>5598</v>
      </c>
      <c r="H570">
        <v>1238</v>
      </c>
      <c r="I570">
        <v>596</v>
      </c>
      <c r="J570">
        <v>240</v>
      </c>
      <c r="K570" s="4">
        <v>51643.69</v>
      </c>
      <c r="L570" s="4">
        <v>862353.37</v>
      </c>
      <c r="M570" t="s">
        <v>32</v>
      </c>
      <c r="N570">
        <f t="shared" si="56"/>
        <v>1</v>
      </c>
      <c r="O570" t="str">
        <f>IF(AND(G570&lt;=F570,H570&lt;=G570,I570&lt;=H570,J570&lt;=I570),"OK","Check")</f>
        <v>OK</v>
      </c>
      <c r="P570" s="6">
        <f t="shared" si="57"/>
        <v>5.1889066033888254</v>
      </c>
      <c r="Q570" s="6">
        <f t="shared" si="58"/>
        <v>22.115041086102181</v>
      </c>
      <c r="R570" s="6">
        <f t="shared" si="59"/>
        <v>48.142164781906303</v>
      </c>
      <c r="S570" s="6">
        <f t="shared" si="60"/>
        <v>40.268456375838923</v>
      </c>
      <c r="T570" s="6">
        <f t="shared" si="61"/>
        <v>1569.8136209864165</v>
      </c>
      <c r="U570" s="6">
        <f t="shared" si="62"/>
        <v>16.698136209864167</v>
      </c>
    </row>
    <row r="571" spans="1:21" x14ac:dyDescent="0.3">
      <c r="A571" s="2">
        <v>45788</v>
      </c>
      <c r="B571" t="s">
        <v>15</v>
      </c>
      <c r="C571" t="s">
        <v>20</v>
      </c>
      <c r="D571" t="s">
        <v>25</v>
      </c>
      <c r="E571" t="s">
        <v>28</v>
      </c>
      <c r="F571">
        <v>281759</v>
      </c>
      <c r="G571">
        <v>18036</v>
      </c>
      <c r="H571">
        <v>3182</v>
      </c>
      <c r="I571">
        <v>2035</v>
      </c>
      <c r="J571">
        <v>1042</v>
      </c>
      <c r="K571" s="4">
        <v>149263.62</v>
      </c>
      <c r="L571" s="4">
        <v>7035403.1900000004</v>
      </c>
      <c r="M571" t="s">
        <v>31</v>
      </c>
      <c r="N571">
        <f t="shared" si="56"/>
        <v>1</v>
      </c>
      <c r="O571" t="str">
        <f>IF(AND(G571&lt;=F571,H571&lt;=G571,I571&lt;=H571,J571&lt;=I571),"OK","Check")</f>
        <v>OK</v>
      </c>
      <c r="P571" s="6">
        <f t="shared" si="57"/>
        <v>6.4012152229387524</v>
      </c>
      <c r="Q571" s="6">
        <f t="shared" si="58"/>
        <v>17.642492792193391</v>
      </c>
      <c r="R571" s="6">
        <f t="shared" si="59"/>
        <v>63.953488372093027</v>
      </c>
      <c r="S571" s="6">
        <f t="shared" si="60"/>
        <v>51.203931203931205</v>
      </c>
      <c r="T571" s="6">
        <f t="shared" si="61"/>
        <v>4613.407855175964</v>
      </c>
      <c r="U571" s="6">
        <f t="shared" si="62"/>
        <v>47.134078551759636</v>
      </c>
    </row>
    <row r="572" spans="1:21" x14ac:dyDescent="0.3">
      <c r="A572" s="2">
        <v>45789</v>
      </c>
      <c r="B572" t="s">
        <v>14</v>
      </c>
      <c r="C572" t="s">
        <v>19</v>
      </c>
      <c r="D572" t="s">
        <v>24</v>
      </c>
      <c r="E572" t="s">
        <v>86</v>
      </c>
      <c r="F572">
        <v>109219</v>
      </c>
      <c r="G572">
        <v>6309</v>
      </c>
      <c r="H572">
        <v>1002</v>
      </c>
      <c r="I572">
        <v>621</v>
      </c>
      <c r="J572">
        <v>302</v>
      </c>
      <c r="K572" s="4">
        <v>80141.73</v>
      </c>
      <c r="L572" s="4">
        <v>1535750.35</v>
      </c>
      <c r="M572" t="s">
        <v>31</v>
      </c>
      <c r="N572">
        <f t="shared" si="56"/>
        <v>1</v>
      </c>
      <c r="O572" t="str">
        <f>IF(AND(G572&lt;=F572,H572&lt;=G572,I572&lt;=H572,J572&lt;=I572),"OK","Check")</f>
        <v>OK</v>
      </c>
      <c r="P572" s="6">
        <f t="shared" si="57"/>
        <v>5.7764674644521552</v>
      </c>
      <c r="Q572" s="6">
        <f t="shared" si="58"/>
        <v>15.882073228720875</v>
      </c>
      <c r="R572" s="6">
        <f t="shared" si="59"/>
        <v>61.97604790419161</v>
      </c>
      <c r="S572" s="6">
        <f t="shared" si="60"/>
        <v>48.631239935587764</v>
      </c>
      <c r="T572" s="6">
        <f t="shared" si="61"/>
        <v>1816.292984940555</v>
      </c>
      <c r="U572" s="6">
        <f t="shared" si="62"/>
        <v>19.16292984940555</v>
      </c>
    </row>
    <row r="573" spans="1:21" x14ac:dyDescent="0.3">
      <c r="A573" s="2">
        <v>45789</v>
      </c>
      <c r="B573" t="s">
        <v>15</v>
      </c>
      <c r="C573" t="s">
        <v>20</v>
      </c>
      <c r="D573" t="s">
        <v>25</v>
      </c>
      <c r="E573" t="s">
        <v>29</v>
      </c>
      <c r="F573">
        <v>56655</v>
      </c>
      <c r="G573">
        <v>3075</v>
      </c>
      <c r="H573">
        <v>664</v>
      </c>
      <c r="I573">
        <v>314</v>
      </c>
      <c r="J573">
        <v>152</v>
      </c>
      <c r="K573" s="4">
        <v>22689.88</v>
      </c>
      <c r="L573" s="4">
        <v>1129547.78</v>
      </c>
      <c r="M573" t="s">
        <v>31</v>
      </c>
      <c r="N573">
        <f t="shared" si="56"/>
        <v>1</v>
      </c>
      <c r="O573" t="str">
        <f>IF(AND(G573&lt;=F573,H573&lt;=G573,I573&lt;=H573,J573&lt;=I573),"OK","Check")</f>
        <v>OK</v>
      </c>
      <c r="P573" s="6">
        <f t="shared" si="57"/>
        <v>5.4275880328302879</v>
      </c>
      <c r="Q573" s="6">
        <f t="shared" si="58"/>
        <v>21.59349593495935</v>
      </c>
      <c r="R573" s="6">
        <f t="shared" si="59"/>
        <v>47.289156626506021</v>
      </c>
      <c r="S573" s="6">
        <f t="shared" si="60"/>
        <v>48.407643312101911</v>
      </c>
      <c r="T573" s="6">
        <f t="shared" si="61"/>
        <v>4878.2007661565422</v>
      </c>
      <c r="U573" s="6">
        <f t="shared" si="62"/>
        <v>49.782007661565416</v>
      </c>
    </row>
    <row r="574" spans="1:21" x14ac:dyDescent="0.3">
      <c r="A574" s="2">
        <v>45790</v>
      </c>
      <c r="B574" t="s">
        <v>14</v>
      </c>
      <c r="C574" t="s">
        <v>19</v>
      </c>
      <c r="D574" t="s">
        <v>24</v>
      </c>
      <c r="E574" t="s">
        <v>86</v>
      </c>
      <c r="F574">
        <v>127468</v>
      </c>
      <c r="G574">
        <v>5926</v>
      </c>
      <c r="H574">
        <v>1247</v>
      </c>
      <c r="I574">
        <v>622</v>
      </c>
      <c r="J574">
        <v>336</v>
      </c>
      <c r="K574" s="4">
        <v>101926.37</v>
      </c>
      <c r="L574" s="4">
        <v>1859496.88</v>
      </c>
      <c r="M574" t="s">
        <v>33</v>
      </c>
      <c r="N574">
        <f t="shared" si="56"/>
        <v>1</v>
      </c>
      <c r="O574" t="str">
        <f>IF(AND(G574&lt;=F574,H574&lt;=G574,I574&lt;=H574,J574&lt;=I574),"OK","Check")</f>
        <v>OK</v>
      </c>
      <c r="P574" s="6">
        <f t="shared" si="57"/>
        <v>4.6490099475946911</v>
      </c>
      <c r="Q574" s="6">
        <f t="shared" si="58"/>
        <v>21.042861964225448</v>
      </c>
      <c r="R574" s="6">
        <f t="shared" si="59"/>
        <v>49.879711307137129</v>
      </c>
      <c r="S574" s="6">
        <f t="shared" si="60"/>
        <v>54.019292604501615</v>
      </c>
      <c r="T574" s="6">
        <f t="shared" si="61"/>
        <v>1724.3530893918817</v>
      </c>
      <c r="U574" s="6">
        <f t="shared" si="62"/>
        <v>18.243530893918816</v>
      </c>
    </row>
    <row r="575" spans="1:21" x14ac:dyDescent="0.3">
      <c r="A575" s="2">
        <v>45790</v>
      </c>
      <c r="B575" t="s">
        <v>15</v>
      </c>
      <c r="C575" t="s">
        <v>20</v>
      </c>
      <c r="D575" t="s">
        <v>25</v>
      </c>
      <c r="E575" t="s">
        <v>28</v>
      </c>
      <c r="F575">
        <v>263989</v>
      </c>
      <c r="G575">
        <v>20499</v>
      </c>
      <c r="H575">
        <v>4960</v>
      </c>
      <c r="I575">
        <v>3112</v>
      </c>
      <c r="J575">
        <v>1581</v>
      </c>
      <c r="K575" s="4">
        <v>241710.75</v>
      </c>
      <c r="L575" s="4">
        <v>10422582.66</v>
      </c>
      <c r="M575" t="s">
        <v>35</v>
      </c>
      <c r="N575">
        <f t="shared" si="56"/>
        <v>1</v>
      </c>
      <c r="O575" t="str">
        <f>IF(AND(G575&lt;=F575,H575&lt;=G575,I575&lt;=H575,J575&lt;=I575),"OK","Check")</f>
        <v>OK</v>
      </c>
      <c r="P575" s="6">
        <f t="shared" si="57"/>
        <v>7.7650962729507667</v>
      </c>
      <c r="Q575" s="6">
        <f t="shared" si="58"/>
        <v>24.196302258646764</v>
      </c>
      <c r="R575" s="6">
        <f t="shared" si="59"/>
        <v>62.741935483870968</v>
      </c>
      <c r="S575" s="6">
        <f t="shared" si="60"/>
        <v>50.803341902313626</v>
      </c>
      <c r="T575" s="6">
        <f t="shared" si="61"/>
        <v>4212.0062554106507</v>
      </c>
      <c r="U575" s="6">
        <f t="shared" si="62"/>
        <v>43.120062554106511</v>
      </c>
    </row>
    <row r="576" spans="1:21" x14ac:dyDescent="0.3">
      <c r="A576" s="2">
        <v>45791</v>
      </c>
      <c r="B576" t="s">
        <v>14</v>
      </c>
      <c r="C576" t="s">
        <v>19</v>
      </c>
      <c r="D576" t="s">
        <v>24</v>
      </c>
      <c r="E576" t="s">
        <v>86</v>
      </c>
      <c r="F576">
        <v>216556</v>
      </c>
      <c r="G576">
        <v>14437</v>
      </c>
      <c r="H576">
        <v>2858</v>
      </c>
      <c r="I576">
        <v>1623</v>
      </c>
      <c r="J576">
        <v>754</v>
      </c>
      <c r="K576" s="4">
        <v>187567.69</v>
      </c>
      <c r="L576" s="4">
        <v>2602263.33</v>
      </c>
      <c r="M576" t="s">
        <v>33</v>
      </c>
      <c r="N576">
        <f t="shared" si="56"/>
        <v>1</v>
      </c>
      <c r="O576" t="str">
        <f>IF(AND(G576&lt;=F576,H576&lt;=G576,I576&lt;=H576,J576&lt;=I576),"OK","Check")</f>
        <v>OK</v>
      </c>
      <c r="P576" s="6">
        <f t="shared" si="57"/>
        <v>6.6666358817118896</v>
      </c>
      <c r="Q576" s="6">
        <f t="shared" si="58"/>
        <v>19.796356583777794</v>
      </c>
      <c r="R576" s="6">
        <f t="shared" si="59"/>
        <v>56.787963610916727</v>
      </c>
      <c r="S576" s="6">
        <f t="shared" si="60"/>
        <v>46.457178065311147</v>
      </c>
      <c r="T576" s="6">
        <f t="shared" si="61"/>
        <v>1287.3729158790622</v>
      </c>
      <c r="U576" s="6">
        <f t="shared" si="62"/>
        <v>13.873729158790621</v>
      </c>
    </row>
    <row r="577" spans="1:21" x14ac:dyDescent="0.3">
      <c r="A577" s="2">
        <v>45791</v>
      </c>
      <c r="B577" t="s">
        <v>15</v>
      </c>
      <c r="C577" t="s">
        <v>20</v>
      </c>
      <c r="D577" t="s">
        <v>25</v>
      </c>
      <c r="E577" t="s">
        <v>30</v>
      </c>
      <c r="F577">
        <v>176419</v>
      </c>
      <c r="G577">
        <v>6312</v>
      </c>
      <c r="H577">
        <v>1409</v>
      </c>
      <c r="I577">
        <v>877</v>
      </c>
      <c r="J577">
        <v>517</v>
      </c>
      <c r="K577" s="4">
        <v>156086.32</v>
      </c>
      <c r="L577" s="4">
        <v>3922073.17</v>
      </c>
      <c r="M577" t="s">
        <v>33</v>
      </c>
      <c r="N577">
        <f t="shared" si="56"/>
        <v>1</v>
      </c>
      <c r="O577" t="str">
        <f>IF(AND(G577&lt;=F577,H577&lt;=G577,I577&lt;=H577,J577&lt;=I577),"OK","Check")</f>
        <v>OK</v>
      </c>
      <c r="P577" s="6">
        <f t="shared" si="57"/>
        <v>3.5778459236250066</v>
      </c>
      <c r="Q577" s="6">
        <f t="shared" si="58"/>
        <v>22.322560202788338</v>
      </c>
      <c r="R577" s="6">
        <f t="shared" si="59"/>
        <v>62.242725337118522</v>
      </c>
      <c r="S577" s="6">
        <f t="shared" si="60"/>
        <v>58.950969213226912</v>
      </c>
      <c r="T577" s="6">
        <f t="shared" si="61"/>
        <v>2412.7590745941093</v>
      </c>
      <c r="U577" s="6">
        <f t="shared" si="62"/>
        <v>25.127590745941092</v>
      </c>
    </row>
    <row r="578" spans="1:21" x14ac:dyDescent="0.3">
      <c r="A578" s="2">
        <v>45792</v>
      </c>
      <c r="B578" t="s">
        <v>14</v>
      </c>
      <c r="C578" t="s">
        <v>19</v>
      </c>
      <c r="D578" t="s">
        <v>24</v>
      </c>
      <c r="E578" t="s">
        <v>86</v>
      </c>
      <c r="F578">
        <v>104288</v>
      </c>
      <c r="G578">
        <v>4814</v>
      </c>
      <c r="H578">
        <v>768</v>
      </c>
      <c r="I578">
        <v>360</v>
      </c>
      <c r="J578">
        <v>179</v>
      </c>
      <c r="K578" s="4">
        <v>86527.19</v>
      </c>
      <c r="L578" s="4">
        <v>937902.93</v>
      </c>
      <c r="M578" t="s">
        <v>34</v>
      </c>
      <c r="N578">
        <f t="shared" si="56"/>
        <v>1</v>
      </c>
      <c r="O578" t="str">
        <f>IF(AND(G578&lt;=F578,H578&lt;=G578,I578&lt;=H578,J578&lt;=I578),"OK","Check")</f>
        <v>OK</v>
      </c>
      <c r="P578" s="6">
        <f t="shared" si="57"/>
        <v>4.6160632095734888</v>
      </c>
      <c r="Q578" s="6">
        <f t="shared" si="58"/>
        <v>15.953469048608227</v>
      </c>
      <c r="R578" s="6">
        <f t="shared" si="59"/>
        <v>46.875</v>
      </c>
      <c r="S578" s="6">
        <f t="shared" si="60"/>
        <v>49.722222222222221</v>
      </c>
      <c r="T578" s="6">
        <f t="shared" si="61"/>
        <v>983.94012333001899</v>
      </c>
      <c r="U578" s="6">
        <f t="shared" si="62"/>
        <v>10.839401233300192</v>
      </c>
    </row>
    <row r="579" spans="1:21" x14ac:dyDescent="0.3">
      <c r="A579" s="2">
        <v>45792</v>
      </c>
      <c r="B579" t="s">
        <v>15</v>
      </c>
      <c r="C579" t="s">
        <v>20</v>
      </c>
      <c r="D579" t="s">
        <v>25</v>
      </c>
      <c r="E579" t="s">
        <v>30</v>
      </c>
      <c r="F579">
        <v>246319</v>
      </c>
      <c r="G579">
        <v>18568</v>
      </c>
      <c r="H579">
        <v>2933</v>
      </c>
      <c r="I579">
        <v>1874</v>
      </c>
      <c r="J579">
        <v>956</v>
      </c>
      <c r="K579" s="4">
        <v>223803.59</v>
      </c>
      <c r="L579" s="4">
        <v>5348861.97</v>
      </c>
      <c r="M579" t="s">
        <v>31</v>
      </c>
      <c r="N579">
        <f t="shared" ref="N579:N642" si="63">COUNTIFS(A:A,A579,B:B,B579,C:C,C579,D:D,D579,E:E,E579,F:F,F579,G:G,G579,H:H,H579,I:I,I579,J:J,J579,K:K,K579,L:L,L579,M:M,M579)</f>
        <v>1</v>
      </c>
      <c r="O579" t="str">
        <f>IF(AND(G579&lt;=F579,H579&lt;=G579,I579&lt;=H579,J579&lt;=I579),"OK","Check")</f>
        <v>OK</v>
      </c>
      <c r="P579" s="6">
        <f t="shared" ref="P579:P642" si="64">IFERROR(G579/F579*100,0)</f>
        <v>7.5381923440741474</v>
      </c>
      <c r="Q579" s="6">
        <f t="shared" ref="Q579:Q642" si="65">IFERROR(H579/G579*100,0)</f>
        <v>15.795993106419647</v>
      </c>
      <c r="R579" s="6">
        <f t="shared" ref="R579:R642" si="66">IFERROR(I579/H579*100,0)</f>
        <v>63.893624275485848</v>
      </c>
      <c r="S579" s="6">
        <f t="shared" ref="S579:S642" si="67">IFERROR(J579/I579*100,0)</f>
        <v>51.013874066168619</v>
      </c>
      <c r="T579" s="6">
        <f t="shared" ref="T579:T642" si="68">IFERROR((L579-K579)/K579*100,0)</f>
        <v>2289.9804154169287</v>
      </c>
      <c r="U579" s="6">
        <f t="shared" ref="U579:U642" si="69">IFERROR(L579/K579,0)</f>
        <v>23.899804154169285</v>
      </c>
    </row>
    <row r="580" spans="1:21" x14ac:dyDescent="0.3">
      <c r="A580" s="2">
        <v>45793</v>
      </c>
      <c r="B580" t="s">
        <v>14</v>
      </c>
      <c r="C580" t="s">
        <v>19</v>
      </c>
      <c r="D580" t="s">
        <v>24</v>
      </c>
      <c r="E580" t="s">
        <v>86</v>
      </c>
      <c r="F580">
        <v>272620</v>
      </c>
      <c r="G580">
        <v>19195</v>
      </c>
      <c r="H580">
        <v>3980</v>
      </c>
      <c r="I580">
        <v>1800</v>
      </c>
      <c r="J580">
        <v>723</v>
      </c>
      <c r="K580" s="4">
        <v>190013.67</v>
      </c>
      <c r="L580" s="4">
        <v>4634332.3600000003</v>
      </c>
      <c r="M580" t="s">
        <v>35</v>
      </c>
      <c r="N580">
        <f t="shared" si="63"/>
        <v>1</v>
      </c>
      <c r="O580" t="str">
        <f>IF(AND(G580&lt;=F580,H580&lt;=G580,I580&lt;=H580,J580&lt;=I580),"OK","Check")</f>
        <v>OK</v>
      </c>
      <c r="P580" s="6">
        <f t="shared" si="64"/>
        <v>7.0409361015332701</v>
      </c>
      <c r="Q580" s="6">
        <f t="shared" si="65"/>
        <v>20.734566293305548</v>
      </c>
      <c r="R580" s="6">
        <f t="shared" si="66"/>
        <v>45.226130653266331</v>
      </c>
      <c r="S580" s="6">
        <f t="shared" si="67"/>
        <v>40.166666666666664</v>
      </c>
      <c r="T580" s="6">
        <f t="shared" si="68"/>
        <v>2338.9468189315012</v>
      </c>
      <c r="U580" s="6">
        <f t="shared" si="69"/>
        <v>24.389468189315011</v>
      </c>
    </row>
    <row r="581" spans="1:21" x14ac:dyDescent="0.3">
      <c r="A581" s="2">
        <v>45793</v>
      </c>
      <c r="B581" t="s">
        <v>15</v>
      </c>
      <c r="C581" t="s">
        <v>20</v>
      </c>
      <c r="D581" t="s">
        <v>25</v>
      </c>
      <c r="E581" t="s">
        <v>29</v>
      </c>
      <c r="F581">
        <v>135416</v>
      </c>
      <c r="G581">
        <v>9754</v>
      </c>
      <c r="H581">
        <v>1804</v>
      </c>
      <c r="I581">
        <v>831</v>
      </c>
      <c r="J581">
        <v>444</v>
      </c>
      <c r="K581" s="4">
        <v>111777.17</v>
      </c>
      <c r="L581" s="4">
        <v>2526118.0699999998</v>
      </c>
      <c r="M581" t="s">
        <v>34</v>
      </c>
      <c r="N581">
        <f t="shared" si="63"/>
        <v>1</v>
      </c>
      <c r="O581" t="str">
        <f>IF(AND(G581&lt;=F581,H581&lt;=G581,I581&lt;=H581,J581&lt;=I581),"OK","Check")</f>
        <v>OK</v>
      </c>
      <c r="P581" s="6">
        <f t="shared" si="64"/>
        <v>7.2029893070242812</v>
      </c>
      <c r="Q581" s="6">
        <f t="shared" si="65"/>
        <v>18.494976419930286</v>
      </c>
      <c r="R581" s="6">
        <f t="shared" si="66"/>
        <v>46.064301552106429</v>
      </c>
      <c r="S581" s="6">
        <f t="shared" si="67"/>
        <v>53.429602888086649</v>
      </c>
      <c r="T581" s="6">
        <f t="shared" si="68"/>
        <v>2159.9588717445608</v>
      </c>
      <c r="U581" s="6">
        <f t="shared" si="69"/>
        <v>22.599588717445609</v>
      </c>
    </row>
    <row r="582" spans="1:21" x14ac:dyDescent="0.3">
      <c r="A582" s="2">
        <v>45794</v>
      </c>
      <c r="B582" t="s">
        <v>14</v>
      </c>
      <c r="C582" t="s">
        <v>19</v>
      </c>
      <c r="D582" t="s">
        <v>24</v>
      </c>
      <c r="E582" t="s">
        <v>86</v>
      </c>
      <c r="F582">
        <v>205846</v>
      </c>
      <c r="G582">
        <v>16047</v>
      </c>
      <c r="H582">
        <v>2839</v>
      </c>
      <c r="I582">
        <v>1461</v>
      </c>
      <c r="J582">
        <v>602</v>
      </c>
      <c r="K582" s="4">
        <v>109111.63</v>
      </c>
      <c r="L582" s="4">
        <v>3266642.53</v>
      </c>
      <c r="M582" t="s">
        <v>31</v>
      </c>
      <c r="N582">
        <f t="shared" si="63"/>
        <v>1</v>
      </c>
      <c r="O582" t="str">
        <f>IF(AND(G582&lt;=F582,H582&lt;=G582,I582&lt;=H582,J582&lt;=I582),"OK","Check")</f>
        <v>OK</v>
      </c>
      <c r="P582" s="6">
        <f t="shared" si="64"/>
        <v>7.795633629023639</v>
      </c>
      <c r="Q582" s="6">
        <f t="shared" si="65"/>
        <v>17.691780395089424</v>
      </c>
      <c r="R582" s="6">
        <f t="shared" si="66"/>
        <v>51.461782317717507</v>
      </c>
      <c r="S582" s="6">
        <f t="shared" si="67"/>
        <v>41.204654346338124</v>
      </c>
      <c r="T582" s="6">
        <f t="shared" si="68"/>
        <v>2893.8536616124234</v>
      </c>
      <c r="U582" s="6">
        <f t="shared" si="69"/>
        <v>29.938536616124235</v>
      </c>
    </row>
    <row r="583" spans="1:21" x14ac:dyDescent="0.3">
      <c r="A583" s="2">
        <v>45794</v>
      </c>
      <c r="B583" t="s">
        <v>15</v>
      </c>
      <c r="C583" t="s">
        <v>20</v>
      </c>
      <c r="D583" t="s">
        <v>25</v>
      </c>
      <c r="E583" t="s">
        <v>29</v>
      </c>
      <c r="F583">
        <v>277369</v>
      </c>
      <c r="G583">
        <v>9937</v>
      </c>
      <c r="H583">
        <v>2473</v>
      </c>
      <c r="I583">
        <v>1558</v>
      </c>
      <c r="J583">
        <v>780</v>
      </c>
      <c r="K583" s="4">
        <v>197982.71</v>
      </c>
      <c r="L583" s="4">
        <v>4085031.86</v>
      </c>
      <c r="M583" t="s">
        <v>34</v>
      </c>
      <c r="N583">
        <f t="shared" si="63"/>
        <v>1</v>
      </c>
      <c r="O583" t="str">
        <f>IF(AND(G583&lt;=F583,H583&lt;=G583,I583&lt;=H583,J583&lt;=I583),"OK","Check")</f>
        <v>OK</v>
      </c>
      <c r="P583" s="6">
        <f t="shared" si="64"/>
        <v>3.5825921425970457</v>
      </c>
      <c r="Q583" s="6">
        <f t="shared" si="65"/>
        <v>24.886786756566366</v>
      </c>
      <c r="R583" s="6">
        <f t="shared" si="66"/>
        <v>63.000404367165387</v>
      </c>
      <c r="S583" s="6">
        <f t="shared" si="67"/>
        <v>50.064184852374837</v>
      </c>
      <c r="T583" s="6">
        <f t="shared" si="68"/>
        <v>1963.3275804740726</v>
      </c>
      <c r="U583" s="6">
        <f t="shared" si="69"/>
        <v>20.633275804740727</v>
      </c>
    </row>
    <row r="584" spans="1:21" x14ac:dyDescent="0.3">
      <c r="A584" s="2">
        <v>45795</v>
      </c>
      <c r="B584" t="s">
        <v>14</v>
      </c>
      <c r="C584" t="s">
        <v>19</v>
      </c>
      <c r="D584" t="s">
        <v>24</v>
      </c>
      <c r="E584" t="s">
        <v>86</v>
      </c>
      <c r="F584">
        <v>73028</v>
      </c>
      <c r="G584">
        <v>3043</v>
      </c>
      <c r="H584">
        <v>537</v>
      </c>
      <c r="I584">
        <v>345</v>
      </c>
      <c r="J584">
        <v>157</v>
      </c>
      <c r="K584" s="4">
        <v>45541.08</v>
      </c>
      <c r="L584" s="4">
        <v>698667.79</v>
      </c>
      <c r="M584" t="s">
        <v>33</v>
      </c>
      <c r="N584">
        <f t="shared" si="63"/>
        <v>1</v>
      </c>
      <c r="O584" t="str">
        <f>IF(AND(G584&lt;=F584,H584&lt;=G584,I584&lt;=H584,J584&lt;=I584),"OK","Check")</f>
        <v>OK</v>
      </c>
      <c r="P584" s="6">
        <f t="shared" si="64"/>
        <v>4.166894889631374</v>
      </c>
      <c r="Q584" s="6">
        <f t="shared" si="65"/>
        <v>17.647058823529413</v>
      </c>
      <c r="R584" s="6">
        <f t="shared" si="66"/>
        <v>64.245810055865931</v>
      </c>
      <c r="S584" s="6">
        <f t="shared" si="67"/>
        <v>45.507246376811594</v>
      </c>
      <c r="T584" s="6">
        <f t="shared" si="68"/>
        <v>1434.1484874754838</v>
      </c>
      <c r="U584" s="6">
        <f t="shared" si="69"/>
        <v>15.341484874754837</v>
      </c>
    </row>
    <row r="585" spans="1:21" x14ac:dyDescent="0.3">
      <c r="A585" s="2">
        <v>45795</v>
      </c>
      <c r="B585" t="s">
        <v>15</v>
      </c>
      <c r="C585" t="s">
        <v>20</v>
      </c>
      <c r="D585" t="s">
        <v>25</v>
      </c>
      <c r="E585" t="s">
        <v>29</v>
      </c>
      <c r="F585">
        <v>154431</v>
      </c>
      <c r="G585">
        <v>8758</v>
      </c>
      <c r="H585">
        <v>1526</v>
      </c>
      <c r="I585">
        <v>770</v>
      </c>
      <c r="J585">
        <v>401</v>
      </c>
      <c r="K585" s="4">
        <v>67378.69</v>
      </c>
      <c r="L585" s="4">
        <v>3182834.15</v>
      </c>
      <c r="M585" t="s">
        <v>32</v>
      </c>
      <c r="N585">
        <f t="shared" si="63"/>
        <v>1</v>
      </c>
      <c r="O585" t="str">
        <f>IF(AND(G585&lt;=F585,H585&lt;=G585,I585&lt;=H585,J585&lt;=I585),"OK","Check")</f>
        <v>OK</v>
      </c>
      <c r="P585" s="6">
        <f t="shared" si="64"/>
        <v>5.6711411568920749</v>
      </c>
      <c r="Q585" s="6">
        <f t="shared" si="65"/>
        <v>17.424069422242521</v>
      </c>
      <c r="R585" s="6">
        <f t="shared" si="66"/>
        <v>50.458715596330272</v>
      </c>
      <c r="S585" s="6">
        <f t="shared" si="67"/>
        <v>52.077922077922082</v>
      </c>
      <c r="T585" s="6">
        <f t="shared" si="68"/>
        <v>4623.7993941407876</v>
      </c>
      <c r="U585" s="6">
        <f t="shared" si="69"/>
        <v>47.237993941407879</v>
      </c>
    </row>
    <row r="586" spans="1:21" x14ac:dyDescent="0.3">
      <c r="A586" s="2">
        <v>45796</v>
      </c>
      <c r="B586" t="s">
        <v>14</v>
      </c>
      <c r="C586" t="s">
        <v>19</v>
      </c>
      <c r="D586" t="s">
        <v>24</v>
      </c>
      <c r="E586" t="s">
        <v>86</v>
      </c>
      <c r="F586">
        <v>129271</v>
      </c>
      <c r="G586">
        <v>8596</v>
      </c>
      <c r="H586">
        <v>1731</v>
      </c>
      <c r="I586">
        <v>909</v>
      </c>
      <c r="J586">
        <v>413</v>
      </c>
      <c r="K586" s="4">
        <v>61223.519999999997</v>
      </c>
      <c r="L586" s="4">
        <v>3212616.4</v>
      </c>
      <c r="M586" t="s">
        <v>35</v>
      </c>
      <c r="N586">
        <f t="shared" si="63"/>
        <v>1</v>
      </c>
      <c r="O586" t="str">
        <f>IF(AND(G586&lt;=F586,H586&lt;=G586,I586&lt;=H586,J586&lt;=I586),"OK","Check")</f>
        <v>OK</v>
      </c>
      <c r="P586" s="6">
        <f t="shared" si="64"/>
        <v>6.6495965839206015</v>
      </c>
      <c r="Q586" s="6">
        <f t="shared" si="65"/>
        <v>20.137273150302466</v>
      </c>
      <c r="R586" s="6">
        <f t="shared" si="66"/>
        <v>52.512998266897746</v>
      </c>
      <c r="S586" s="6">
        <f t="shared" si="67"/>
        <v>45.43454345434543</v>
      </c>
      <c r="T586" s="6">
        <f t="shared" si="68"/>
        <v>5147.3565714614251</v>
      </c>
      <c r="U586" s="6">
        <f t="shared" si="69"/>
        <v>52.473565714614253</v>
      </c>
    </row>
    <row r="587" spans="1:21" x14ac:dyDescent="0.3">
      <c r="A587" s="2">
        <v>45796</v>
      </c>
      <c r="B587" t="s">
        <v>15</v>
      </c>
      <c r="C587" t="s">
        <v>20</v>
      </c>
      <c r="D587" t="s">
        <v>25</v>
      </c>
      <c r="E587" t="s">
        <v>30</v>
      </c>
      <c r="F587">
        <v>294707</v>
      </c>
      <c r="G587">
        <v>9304</v>
      </c>
      <c r="H587">
        <v>1777</v>
      </c>
      <c r="I587">
        <v>925</v>
      </c>
      <c r="J587">
        <v>464</v>
      </c>
      <c r="K587" s="4">
        <v>171711.35</v>
      </c>
      <c r="L587" s="4">
        <v>1435655.76</v>
      </c>
      <c r="M587" t="s">
        <v>31</v>
      </c>
      <c r="N587">
        <f t="shared" si="63"/>
        <v>1</v>
      </c>
      <c r="O587" t="str">
        <f>IF(AND(G587&lt;=F587,H587&lt;=G587,I587&lt;=H587,J587&lt;=I587),"OK","Check")</f>
        <v>OK</v>
      </c>
      <c r="P587" s="6">
        <f t="shared" si="64"/>
        <v>3.157033935400245</v>
      </c>
      <c r="Q587" s="6">
        <f t="shared" si="65"/>
        <v>19.099312123817715</v>
      </c>
      <c r="R587" s="6">
        <f t="shared" si="66"/>
        <v>52.054023635340464</v>
      </c>
      <c r="S587" s="6">
        <f t="shared" si="67"/>
        <v>50.162162162162161</v>
      </c>
      <c r="T587" s="6">
        <f t="shared" si="68"/>
        <v>736.08670015115467</v>
      </c>
      <c r="U587" s="6">
        <f t="shared" si="69"/>
        <v>8.3608670015115489</v>
      </c>
    </row>
    <row r="588" spans="1:21" x14ac:dyDescent="0.3">
      <c r="A588" s="2">
        <v>45797</v>
      </c>
      <c r="B588" t="s">
        <v>14</v>
      </c>
      <c r="C588" t="s">
        <v>19</v>
      </c>
      <c r="D588" t="s">
        <v>24</v>
      </c>
      <c r="E588" t="s">
        <v>86</v>
      </c>
      <c r="F588">
        <v>163842</v>
      </c>
      <c r="G588">
        <v>7426</v>
      </c>
      <c r="H588">
        <v>1233</v>
      </c>
      <c r="I588">
        <v>778</v>
      </c>
      <c r="J588">
        <v>374</v>
      </c>
      <c r="K588" s="4">
        <v>74194.66</v>
      </c>
      <c r="L588" s="4">
        <v>2531863.85</v>
      </c>
      <c r="M588" t="s">
        <v>33</v>
      </c>
      <c r="N588">
        <f t="shared" si="63"/>
        <v>1</v>
      </c>
      <c r="O588" t="str">
        <f>IF(AND(G588&lt;=F588,H588&lt;=G588,I588&lt;=H588,J588&lt;=I588),"OK","Check")</f>
        <v>OK</v>
      </c>
      <c r="P588" s="6">
        <f t="shared" si="64"/>
        <v>4.5324153757888697</v>
      </c>
      <c r="Q588" s="6">
        <f t="shared" si="65"/>
        <v>16.603824400754107</v>
      </c>
      <c r="R588" s="6">
        <f t="shared" si="66"/>
        <v>63.098134630981349</v>
      </c>
      <c r="S588" s="6">
        <f t="shared" si="67"/>
        <v>48.0719794344473</v>
      </c>
      <c r="T588" s="6">
        <f t="shared" si="68"/>
        <v>3312.4610180840505</v>
      </c>
      <c r="U588" s="6">
        <f t="shared" si="69"/>
        <v>34.124610180840506</v>
      </c>
    </row>
    <row r="589" spans="1:21" x14ac:dyDescent="0.3">
      <c r="A589" s="2">
        <v>45797</v>
      </c>
      <c r="B589" t="s">
        <v>15</v>
      </c>
      <c r="C589" t="s">
        <v>20</v>
      </c>
      <c r="D589" t="s">
        <v>25</v>
      </c>
      <c r="E589" t="s">
        <v>30</v>
      </c>
      <c r="F589">
        <v>170906</v>
      </c>
      <c r="G589">
        <v>10548</v>
      </c>
      <c r="H589">
        <v>1817</v>
      </c>
      <c r="I589">
        <v>1173</v>
      </c>
      <c r="J589">
        <v>608</v>
      </c>
      <c r="K589" s="4">
        <v>123281.41</v>
      </c>
      <c r="L589" s="4">
        <v>2911291.7</v>
      </c>
      <c r="M589" t="s">
        <v>31</v>
      </c>
      <c r="N589">
        <f t="shared" si="63"/>
        <v>1</v>
      </c>
      <c r="O589" t="str">
        <f>IF(AND(G589&lt;=F589,H589&lt;=G589,I589&lt;=H589,J589&lt;=I589),"OK","Check")</f>
        <v>OK</v>
      </c>
      <c r="P589" s="6">
        <f t="shared" si="64"/>
        <v>6.1718137455677393</v>
      </c>
      <c r="Q589" s="6">
        <f t="shared" si="65"/>
        <v>17.226014410314754</v>
      </c>
      <c r="R589" s="6">
        <f t="shared" si="66"/>
        <v>64.556962025316452</v>
      </c>
      <c r="S589" s="6">
        <f t="shared" si="67"/>
        <v>51.832907075873827</v>
      </c>
      <c r="T589" s="6">
        <f t="shared" si="68"/>
        <v>2261.500975694551</v>
      </c>
      <c r="U589" s="6">
        <f t="shared" si="69"/>
        <v>23.615009756945511</v>
      </c>
    </row>
    <row r="590" spans="1:21" x14ac:dyDescent="0.3">
      <c r="A590" s="2">
        <v>45798</v>
      </c>
      <c r="B590" t="s">
        <v>14</v>
      </c>
      <c r="C590" t="s">
        <v>19</v>
      </c>
      <c r="D590" t="s">
        <v>24</v>
      </c>
      <c r="E590" t="s">
        <v>86</v>
      </c>
      <c r="F590">
        <v>61054</v>
      </c>
      <c r="G590">
        <v>3895</v>
      </c>
      <c r="H590">
        <v>951</v>
      </c>
      <c r="I590">
        <v>543</v>
      </c>
      <c r="J590">
        <v>240</v>
      </c>
      <c r="K590" s="4">
        <v>25073.99</v>
      </c>
      <c r="L590" s="4">
        <v>1266941.77</v>
      </c>
      <c r="M590" t="s">
        <v>31</v>
      </c>
      <c r="N590">
        <f t="shared" si="63"/>
        <v>1</v>
      </c>
      <c r="O590" t="str">
        <f>IF(AND(G590&lt;=F590,H590&lt;=G590,I590&lt;=H590,J590&lt;=I590),"OK","Check")</f>
        <v>OK</v>
      </c>
      <c r="P590" s="6">
        <f t="shared" si="64"/>
        <v>6.3795983883119858</v>
      </c>
      <c r="Q590" s="6">
        <f t="shared" si="65"/>
        <v>24.415917843388961</v>
      </c>
      <c r="R590" s="6">
        <f t="shared" si="66"/>
        <v>57.097791798107252</v>
      </c>
      <c r="S590" s="6">
        <f t="shared" si="67"/>
        <v>44.19889502762431</v>
      </c>
      <c r="T590" s="6">
        <f t="shared" si="68"/>
        <v>4952.8127753101917</v>
      </c>
      <c r="U590" s="6">
        <f t="shared" si="69"/>
        <v>50.52812775310192</v>
      </c>
    </row>
    <row r="591" spans="1:21" x14ac:dyDescent="0.3">
      <c r="A591" s="2">
        <v>45798</v>
      </c>
      <c r="B591" t="s">
        <v>15</v>
      </c>
      <c r="C591" t="s">
        <v>20</v>
      </c>
      <c r="D591" t="s">
        <v>25</v>
      </c>
      <c r="E591" t="s">
        <v>28</v>
      </c>
      <c r="F591">
        <v>121352</v>
      </c>
      <c r="G591">
        <v>4064</v>
      </c>
      <c r="H591">
        <v>696</v>
      </c>
      <c r="I591">
        <v>357</v>
      </c>
      <c r="J591">
        <v>180</v>
      </c>
      <c r="K591" s="4">
        <v>54958.71</v>
      </c>
      <c r="L591" s="4">
        <v>941034.3</v>
      </c>
      <c r="M591" t="s">
        <v>32</v>
      </c>
      <c r="N591">
        <f t="shared" si="63"/>
        <v>1</v>
      </c>
      <c r="O591" t="str">
        <f>IF(AND(G591&lt;=F591,H591&lt;=G591,I591&lt;=H591,J591&lt;=I591),"OK","Check")</f>
        <v>OK</v>
      </c>
      <c r="P591" s="6">
        <f t="shared" si="64"/>
        <v>3.3489353286307604</v>
      </c>
      <c r="Q591" s="6">
        <f t="shared" si="65"/>
        <v>17.125984251968504</v>
      </c>
      <c r="R591" s="6">
        <f t="shared" si="66"/>
        <v>51.293103448275865</v>
      </c>
      <c r="S591" s="6">
        <f t="shared" si="67"/>
        <v>50.420168067226889</v>
      </c>
      <c r="T591" s="6">
        <f t="shared" si="68"/>
        <v>1612.256892492564</v>
      </c>
      <c r="U591" s="6">
        <f t="shared" si="69"/>
        <v>17.122568924925641</v>
      </c>
    </row>
    <row r="592" spans="1:21" x14ac:dyDescent="0.3">
      <c r="A592" s="2">
        <v>45799</v>
      </c>
      <c r="B592" t="s">
        <v>14</v>
      </c>
      <c r="C592" t="s">
        <v>19</v>
      </c>
      <c r="D592" t="s">
        <v>24</v>
      </c>
      <c r="E592" t="s">
        <v>86</v>
      </c>
      <c r="F592">
        <v>109881</v>
      </c>
      <c r="G592">
        <v>4764</v>
      </c>
      <c r="H592">
        <v>991</v>
      </c>
      <c r="I592">
        <v>450</v>
      </c>
      <c r="J592">
        <v>232</v>
      </c>
      <c r="K592" s="4">
        <v>99134.91</v>
      </c>
      <c r="L592" s="4">
        <v>1580447.82</v>
      </c>
      <c r="M592" t="s">
        <v>33</v>
      </c>
      <c r="N592">
        <f t="shared" si="63"/>
        <v>1</v>
      </c>
      <c r="O592" t="str">
        <f>IF(AND(G592&lt;=F592,H592&lt;=G592,I592&lt;=H592,J592&lt;=I592),"OK","Check")</f>
        <v>OK</v>
      </c>
      <c r="P592" s="6">
        <f t="shared" si="64"/>
        <v>4.3355994211920175</v>
      </c>
      <c r="Q592" s="6">
        <f t="shared" si="65"/>
        <v>20.801847187237616</v>
      </c>
      <c r="R592" s="6">
        <f t="shared" si="66"/>
        <v>45.408678102926338</v>
      </c>
      <c r="S592" s="6">
        <f t="shared" si="67"/>
        <v>51.555555555555557</v>
      </c>
      <c r="T592" s="6">
        <f t="shared" si="68"/>
        <v>1494.2394258490779</v>
      </c>
      <c r="U592" s="6">
        <f t="shared" si="69"/>
        <v>15.942394258490777</v>
      </c>
    </row>
    <row r="593" spans="1:21" x14ac:dyDescent="0.3">
      <c r="A593" s="2">
        <v>45799</v>
      </c>
      <c r="B593" t="s">
        <v>15</v>
      </c>
      <c r="C593" t="s">
        <v>20</v>
      </c>
      <c r="D593" t="s">
        <v>25</v>
      </c>
      <c r="E593" t="s">
        <v>29</v>
      </c>
      <c r="F593">
        <v>228338</v>
      </c>
      <c r="G593">
        <v>16682</v>
      </c>
      <c r="H593">
        <v>2885</v>
      </c>
      <c r="I593">
        <v>1390</v>
      </c>
      <c r="J593">
        <v>593</v>
      </c>
      <c r="K593" s="4">
        <v>202855.34</v>
      </c>
      <c r="L593" s="4">
        <v>4698879.46</v>
      </c>
      <c r="M593" t="s">
        <v>31</v>
      </c>
      <c r="N593">
        <f t="shared" si="63"/>
        <v>1</v>
      </c>
      <c r="O593" t="str">
        <f>IF(AND(G593&lt;=F593,H593&lt;=G593,I593&lt;=H593,J593&lt;=I593),"OK","Check")</f>
        <v>OK</v>
      </c>
      <c r="P593" s="6">
        <f t="shared" si="64"/>
        <v>7.3058360851019106</v>
      </c>
      <c r="Q593" s="6">
        <f t="shared" si="65"/>
        <v>17.2940894377173</v>
      </c>
      <c r="R593" s="6">
        <f t="shared" si="66"/>
        <v>48.180242634315427</v>
      </c>
      <c r="S593" s="6">
        <f t="shared" si="67"/>
        <v>42.661870503597122</v>
      </c>
      <c r="T593" s="6">
        <f t="shared" si="68"/>
        <v>2216.3696159046149</v>
      </c>
      <c r="U593" s="6">
        <f t="shared" si="69"/>
        <v>23.163696159046147</v>
      </c>
    </row>
    <row r="594" spans="1:21" x14ac:dyDescent="0.3">
      <c r="A594" s="2">
        <v>45800</v>
      </c>
      <c r="B594" t="s">
        <v>14</v>
      </c>
      <c r="C594" t="s">
        <v>19</v>
      </c>
      <c r="D594" t="s">
        <v>24</v>
      </c>
      <c r="E594" t="s">
        <v>86</v>
      </c>
      <c r="F594">
        <v>138950</v>
      </c>
      <c r="G594">
        <v>8247</v>
      </c>
      <c r="H594">
        <v>1433</v>
      </c>
      <c r="I594">
        <v>743</v>
      </c>
      <c r="J594">
        <v>371</v>
      </c>
      <c r="K594" s="4">
        <v>87585.26</v>
      </c>
      <c r="L594" s="4">
        <v>2275198.2599999998</v>
      </c>
      <c r="M594" t="s">
        <v>35</v>
      </c>
      <c r="N594">
        <f t="shared" si="63"/>
        <v>1</v>
      </c>
      <c r="O594" t="str">
        <f>IF(AND(G594&lt;=F594,H594&lt;=G594,I594&lt;=H594,J594&lt;=I594),"OK","Check")</f>
        <v>OK</v>
      </c>
      <c r="P594" s="6">
        <f t="shared" si="64"/>
        <v>5.935228499460238</v>
      </c>
      <c r="Q594" s="6">
        <f t="shared" si="65"/>
        <v>17.376015520795441</v>
      </c>
      <c r="R594" s="6">
        <f t="shared" si="66"/>
        <v>51.84926727145848</v>
      </c>
      <c r="S594" s="6">
        <f t="shared" si="67"/>
        <v>49.93270524899058</v>
      </c>
      <c r="T594" s="6">
        <f t="shared" si="68"/>
        <v>2497.6953884706172</v>
      </c>
      <c r="U594" s="6">
        <f t="shared" si="69"/>
        <v>25.97695388470617</v>
      </c>
    </row>
    <row r="595" spans="1:21" x14ac:dyDescent="0.3">
      <c r="A595" s="2">
        <v>45800</v>
      </c>
      <c r="B595" t="s">
        <v>15</v>
      </c>
      <c r="C595" t="s">
        <v>20</v>
      </c>
      <c r="D595" t="s">
        <v>25</v>
      </c>
      <c r="E595" t="s">
        <v>30</v>
      </c>
      <c r="F595">
        <v>81571</v>
      </c>
      <c r="G595">
        <v>6335</v>
      </c>
      <c r="H595">
        <v>1288</v>
      </c>
      <c r="I595">
        <v>609</v>
      </c>
      <c r="J595">
        <v>288</v>
      </c>
      <c r="K595" s="4">
        <v>69379.64</v>
      </c>
      <c r="L595" s="4">
        <v>1003969.21</v>
      </c>
      <c r="M595" t="s">
        <v>33</v>
      </c>
      <c r="N595">
        <f t="shared" si="63"/>
        <v>1</v>
      </c>
      <c r="O595" t="str">
        <f>IF(AND(G595&lt;=F595,H595&lt;=G595,I595&lt;=H595,J595&lt;=I595),"OK","Check")</f>
        <v>OK</v>
      </c>
      <c r="P595" s="6">
        <f t="shared" si="64"/>
        <v>7.7662404531022053</v>
      </c>
      <c r="Q595" s="6">
        <f t="shared" si="65"/>
        <v>20.331491712707184</v>
      </c>
      <c r="R595" s="6">
        <f t="shared" si="66"/>
        <v>47.282608695652172</v>
      </c>
      <c r="S595" s="6">
        <f t="shared" si="67"/>
        <v>47.290640394088669</v>
      </c>
      <c r="T595" s="6">
        <f t="shared" si="68"/>
        <v>1347.0660412766626</v>
      </c>
      <c r="U595" s="6">
        <f t="shared" si="69"/>
        <v>14.470660412766627</v>
      </c>
    </row>
    <row r="596" spans="1:21" x14ac:dyDescent="0.3">
      <c r="A596" s="2">
        <v>45801</v>
      </c>
      <c r="B596" t="s">
        <v>14</v>
      </c>
      <c r="C596" t="s">
        <v>19</v>
      </c>
      <c r="D596" t="s">
        <v>24</v>
      </c>
      <c r="E596" t="s">
        <v>86</v>
      </c>
      <c r="F596">
        <v>261935</v>
      </c>
      <c r="G596">
        <v>11611</v>
      </c>
      <c r="H596">
        <v>1967</v>
      </c>
      <c r="I596">
        <v>1027</v>
      </c>
      <c r="J596">
        <v>604</v>
      </c>
      <c r="K596" s="4">
        <v>209519.18</v>
      </c>
      <c r="L596" s="4">
        <v>3096991.33</v>
      </c>
      <c r="M596" t="s">
        <v>33</v>
      </c>
      <c r="N596">
        <f t="shared" si="63"/>
        <v>1</v>
      </c>
      <c r="O596" t="str">
        <f>IF(AND(G596&lt;=F596,H596&lt;=G596,I596&lt;=H596,J596&lt;=I596),"OK","Check")</f>
        <v>OK</v>
      </c>
      <c r="P596" s="6">
        <f t="shared" si="64"/>
        <v>4.4327791245919794</v>
      </c>
      <c r="Q596" s="6">
        <f t="shared" si="65"/>
        <v>16.94083196968392</v>
      </c>
      <c r="R596" s="6">
        <f t="shared" si="66"/>
        <v>52.211489578037614</v>
      </c>
      <c r="S596" s="6">
        <f t="shared" si="67"/>
        <v>58.812074001947423</v>
      </c>
      <c r="T596" s="6">
        <f t="shared" si="68"/>
        <v>1378.1421586319686</v>
      </c>
      <c r="U596" s="6">
        <f t="shared" si="69"/>
        <v>14.781421586319688</v>
      </c>
    </row>
    <row r="597" spans="1:21" x14ac:dyDescent="0.3">
      <c r="A597" s="2">
        <v>45801</v>
      </c>
      <c r="B597" t="s">
        <v>15</v>
      </c>
      <c r="C597" t="s">
        <v>20</v>
      </c>
      <c r="D597" t="s">
        <v>25</v>
      </c>
      <c r="E597" t="s">
        <v>28</v>
      </c>
      <c r="F597">
        <v>107849</v>
      </c>
      <c r="G597">
        <v>6825</v>
      </c>
      <c r="H597">
        <v>1489</v>
      </c>
      <c r="I597">
        <v>749</v>
      </c>
      <c r="J597">
        <v>394</v>
      </c>
      <c r="K597" s="4">
        <v>81201.03</v>
      </c>
      <c r="L597" s="4">
        <v>1255931.71</v>
      </c>
      <c r="M597" t="s">
        <v>31</v>
      </c>
      <c r="N597">
        <f t="shared" si="63"/>
        <v>1</v>
      </c>
      <c r="O597" t="str">
        <f>IF(AND(G597&lt;=F597,H597&lt;=G597,I597&lt;=H597,J597&lt;=I597),"OK","Check")</f>
        <v>OK</v>
      </c>
      <c r="P597" s="6">
        <f t="shared" si="64"/>
        <v>6.3282923346530797</v>
      </c>
      <c r="Q597" s="6">
        <f t="shared" si="65"/>
        <v>21.816849816849818</v>
      </c>
      <c r="R597" s="6">
        <f t="shared" si="66"/>
        <v>50.30221625251847</v>
      </c>
      <c r="S597" s="6">
        <f t="shared" si="67"/>
        <v>52.603471295060075</v>
      </c>
      <c r="T597" s="6">
        <f t="shared" si="68"/>
        <v>1446.6943091731719</v>
      </c>
      <c r="U597" s="6">
        <f t="shared" si="69"/>
        <v>15.466943091731718</v>
      </c>
    </row>
    <row r="598" spans="1:21" x14ac:dyDescent="0.3">
      <c r="A598" s="2">
        <v>45802</v>
      </c>
      <c r="B598" t="s">
        <v>14</v>
      </c>
      <c r="C598" t="s">
        <v>19</v>
      </c>
      <c r="D598" t="s">
        <v>24</v>
      </c>
      <c r="E598" t="s">
        <v>86</v>
      </c>
      <c r="F598">
        <v>199889</v>
      </c>
      <c r="G598">
        <v>7676</v>
      </c>
      <c r="H598">
        <v>1181</v>
      </c>
      <c r="I598">
        <v>628</v>
      </c>
      <c r="J598">
        <v>295</v>
      </c>
      <c r="K598" s="4">
        <v>160449.25</v>
      </c>
      <c r="L598" s="4">
        <v>1422894.37</v>
      </c>
      <c r="M598" t="s">
        <v>35</v>
      </c>
      <c r="N598">
        <f t="shared" si="63"/>
        <v>1</v>
      </c>
      <c r="O598" t="str">
        <f>IF(AND(G598&lt;=F598,H598&lt;=G598,I598&lt;=H598,J598&lt;=I598),"OK","Check")</f>
        <v>OK</v>
      </c>
      <c r="P598" s="6">
        <f t="shared" si="64"/>
        <v>3.8401312728564356</v>
      </c>
      <c r="Q598" s="6">
        <f t="shared" si="65"/>
        <v>15.385617509119335</v>
      </c>
      <c r="R598" s="6">
        <f t="shared" si="66"/>
        <v>53.175275190516516</v>
      </c>
      <c r="S598" s="6">
        <f t="shared" si="67"/>
        <v>46.974522292993633</v>
      </c>
      <c r="T598" s="6">
        <f t="shared" si="68"/>
        <v>786.8189598891862</v>
      </c>
      <c r="U598" s="6">
        <f t="shared" si="69"/>
        <v>8.8681895988918615</v>
      </c>
    </row>
    <row r="599" spans="1:21" x14ac:dyDescent="0.3">
      <c r="A599" s="2">
        <v>45802</v>
      </c>
      <c r="B599" t="s">
        <v>15</v>
      </c>
      <c r="C599" t="s">
        <v>20</v>
      </c>
      <c r="D599" t="s">
        <v>25</v>
      </c>
      <c r="E599" t="s">
        <v>29</v>
      </c>
      <c r="F599">
        <v>221701</v>
      </c>
      <c r="G599">
        <v>9472</v>
      </c>
      <c r="H599">
        <v>2148</v>
      </c>
      <c r="I599">
        <v>1063</v>
      </c>
      <c r="J599">
        <v>587</v>
      </c>
      <c r="K599" s="4">
        <v>167627.5</v>
      </c>
      <c r="L599" s="4">
        <v>3363822.07</v>
      </c>
      <c r="M599" t="s">
        <v>33</v>
      </c>
      <c r="N599">
        <f t="shared" si="63"/>
        <v>1</v>
      </c>
      <c r="O599" t="str">
        <f>IF(AND(G599&lt;=F599,H599&lt;=G599,I599&lt;=H599,J599&lt;=I599),"OK","Check")</f>
        <v>OK</v>
      </c>
      <c r="P599" s="6">
        <f t="shared" si="64"/>
        <v>4.2724209633695835</v>
      </c>
      <c r="Q599" s="6">
        <f t="shared" si="65"/>
        <v>22.677364864864867</v>
      </c>
      <c r="R599" s="6">
        <f t="shared" si="66"/>
        <v>49.487895716945992</v>
      </c>
      <c r="S599" s="6">
        <f t="shared" si="67"/>
        <v>55.221072436500471</v>
      </c>
      <c r="T599" s="6">
        <f t="shared" si="68"/>
        <v>1906.724475399323</v>
      </c>
      <c r="U599" s="6">
        <f t="shared" si="69"/>
        <v>20.067244753993229</v>
      </c>
    </row>
    <row r="600" spans="1:21" x14ac:dyDescent="0.3">
      <c r="A600" s="2">
        <v>45803</v>
      </c>
      <c r="B600" t="s">
        <v>14</v>
      </c>
      <c r="C600" t="s">
        <v>19</v>
      </c>
      <c r="D600" t="s">
        <v>24</v>
      </c>
      <c r="E600" t="s">
        <v>86</v>
      </c>
      <c r="F600">
        <v>95432</v>
      </c>
      <c r="G600">
        <v>7312</v>
      </c>
      <c r="H600">
        <v>1525</v>
      </c>
      <c r="I600">
        <v>799</v>
      </c>
      <c r="J600">
        <v>461</v>
      </c>
      <c r="K600" s="4">
        <v>75781.679999999993</v>
      </c>
      <c r="L600" s="4">
        <v>2142553.8199999998</v>
      </c>
      <c r="M600" t="s">
        <v>31</v>
      </c>
      <c r="N600">
        <f t="shared" si="63"/>
        <v>1</v>
      </c>
      <c r="O600" t="str">
        <f>IF(AND(G600&lt;=F600,H600&lt;=G600,I600&lt;=H600,J600&lt;=I600),"OK","Check")</f>
        <v>OK</v>
      </c>
      <c r="P600" s="6">
        <f t="shared" si="64"/>
        <v>7.6620001676586478</v>
      </c>
      <c r="Q600" s="6">
        <f t="shared" si="65"/>
        <v>20.85612691466083</v>
      </c>
      <c r="R600" s="6">
        <f t="shared" si="66"/>
        <v>52.393442622950815</v>
      </c>
      <c r="S600" s="6">
        <f t="shared" si="67"/>
        <v>57.697121401752192</v>
      </c>
      <c r="T600" s="6">
        <f t="shared" si="68"/>
        <v>2727.2714724719749</v>
      </c>
      <c r="U600" s="6">
        <f t="shared" si="69"/>
        <v>28.272714724719748</v>
      </c>
    </row>
    <row r="601" spans="1:21" x14ac:dyDescent="0.3">
      <c r="A601" s="2">
        <v>45803</v>
      </c>
      <c r="B601" t="s">
        <v>15</v>
      </c>
      <c r="C601" t="s">
        <v>20</v>
      </c>
      <c r="D601" t="s">
        <v>25</v>
      </c>
      <c r="E601" t="s">
        <v>30</v>
      </c>
      <c r="F601">
        <v>258060</v>
      </c>
      <c r="G601">
        <v>19102</v>
      </c>
      <c r="H601">
        <v>4745</v>
      </c>
      <c r="I601">
        <v>2505</v>
      </c>
      <c r="J601">
        <v>1316</v>
      </c>
      <c r="K601" s="4">
        <v>149089.16</v>
      </c>
      <c r="L601" s="4">
        <v>8726521.3499999996</v>
      </c>
      <c r="M601" t="s">
        <v>31</v>
      </c>
      <c r="N601">
        <f t="shared" si="63"/>
        <v>1</v>
      </c>
      <c r="O601" t="str">
        <f>IF(AND(G601&lt;=F601,H601&lt;=G601,I601&lt;=H601,J601&lt;=I601),"OK","Check")</f>
        <v>OK</v>
      </c>
      <c r="P601" s="6">
        <f t="shared" si="64"/>
        <v>7.4021545377044102</v>
      </c>
      <c r="Q601" s="6">
        <f t="shared" si="65"/>
        <v>24.84033085540781</v>
      </c>
      <c r="R601" s="6">
        <f t="shared" si="66"/>
        <v>52.79241306638567</v>
      </c>
      <c r="S601" s="6">
        <f t="shared" si="67"/>
        <v>52.534930139720558</v>
      </c>
      <c r="T601" s="6">
        <f t="shared" si="68"/>
        <v>5753.2232323262133</v>
      </c>
      <c r="U601" s="6">
        <f t="shared" si="69"/>
        <v>58.532232323262129</v>
      </c>
    </row>
    <row r="602" spans="1:21" x14ac:dyDescent="0.3">
      <c r="A602" s="2">
        <v>45804</v>
      </c>
      <c r="B602" t="s">
        <v>14</v>
      </c>
      <c r="C602" t="s">
        <v>19</v>
      </c>
      <c r="D602" t="s">
        <v>24</v>
      </c>
      <c r="E602" t="s">
        <v>86</v>
      </c>
      <c r="F602">
        <v>161958</v>
      </c>
      <c r="G602">
        <v>8826</v>
      </c>
      <c r="H602">
        <v>1937</v>
      </c>
      <c r="I602">
        <v>906</v>
      </c>
      <c r="J602">
        <v>520</v>
      </c>
      <c r="K602" s="4">
        <v>70025.64</v>
      </c>
      <c r="L602" s="4">
        <v>3944515.61</v>
      </c>
      <c r="M602" t="s">
        <v>33</v>
      </c>
      <c r="N602">
        <f t="shared" si="63"/>
        <v>1</v>
      </c>
      <c r="O602" t="str">
        <f>IF(AND(G602&lt;=F602,H602&lt;=G602,I602&lt;=H602,J602&lt;=I602),"OK","Check")</f>
        <v>OK</v>
      </c>
      <c r="P602" s="6">
        <f t="shared" si="64"/>
        <v>5.4495609972955954</v>
      </c>
      <c r="Q602" s="6">
        <f t="shared" si="65"/>
        <v>21.946521640607298</v>
      </c>
      <c r="R602" s="6">
        <f t="shared" si="66"/>
        <v>46.773360867320605</v>
      </c>
      <c r="S602" s="6">
        <f t="shared" si="67"/>
        <v>57.395143487858725</v>
      </c>
      <c r="T602" s="6">
        <f t="shared" si="68"/>
        <v>5532.9590275790406</v>
      </c>
      <c r="U602" s="6">
        <f t="shared" si="69"/>
        <v>56.329590275790409</v>
      </c>
    </row>
    <row r="603" spans="1:21" x14ac:dyDescent="0.3">
      <c r="A603" s="2">
        <v>45804</v>
      </c>
      <c r="B603" t="s">
        <v>15</v>
      </c>
      <c r="C603" t="s">
        <v>20</v>
      </c>
      <c r="D603" t="s">
        <v>25</v>
      </c>
      <c r="E603" t="s">
        <v>28</v>
      </c>
      <c r="F603">
        <v>298878</v>
      </c>
      <c r="G603">
        <v>16202</v>
      </c>
      <c r="H603">
        <v>3092</v>
      </c>
      <c r="I603">
        <v>1903</v>
      </c>
      <c r="J603">
        <v>1055</v>
      </c>
      <c r="K603" s="4">
        <v>156885.57999999999</v>
      </c>
      <c r="L603" s="4">
        <v>7149953.9800000004</v>
      </c>
      <c r="M603" t="s">
        <v>34</v>
      </c>
      <c r="N603">
        <f t="shared" si="63"/>
        <v>1</v>
      </c>
      <c r="O603" t="str">
        <f>IF(AND(G603&lt;=F603,H603&lt;=G603,I603&lt;=H603,J603&lt;=I603),"OK","Check")</f>
        <v>OK</v>
      </c>
      <c r="P603" s="6">
        <f t="shared" si="64"/>
        <v>5.4209409859541351</v>
      </c>
      <c r="Q603" s="6">
        <f t="shared" si="65"/>
        <v>19.084063695840019</v>
      </c>
      <c r="R603" s="6">
        <f t="shared" si="66"/>
        <v>61.545924967658472</v>
      </c>
      <c r="S603" s="6">
        <f t="shared" si="67"/>
        <v>55.438780872306879</v>
      </c>
      <c r="T603" s="6">
        <f t="shared" si="68"/>
        <v>4457.4322254473618</v>
      </c>
      <c r="U603" s="6">
        <f t="shared" si="69"/>
        <v>45.574322254473614</v>
      </c>
    </row>
    <row r="604" spans="1:21" x14ac:dyDescent="0.3">
      <c r="A604" s="2">
        <v>45805</v>
      </c>
      <c r="B604" t="s">
        <v>14</v>
      </c>
      <c r="C604" t="s">
        <v>19</v>
      </c>
      <c r="D604" t="s">
        <v>24</v>
      </c>
      <c r="E604" t="s">
        <v>86</v>
      </c>
      <c r="F604">
        <v>107903</v>
      </c>
      <c r="G604">
        <v>3524</v>
      </c>
      <c r="H604">
        <v>729</v>
      </c>
      <c r="I604">
        <v>457</v>
      </c>
      <c r="J604">
        <v>206</v>
      </c>
      <c r="K604" s="4">
        <v>103430.57</v>
      </c>
      <c r="L604" s="4">
        <v>1353200.37</v>
      </c>
      <c r="M604" t="s">
        <v>34</v>
      </c>
      <c r="N604">
        <f t="shared" si="63"/>
        <v>1</v>
      </c>
      <c r="O604" t="str">
        <f>IF(AND(G604&lt;=F604,H604&lt;=G604,I604&lt;=H604,J604&lt;=I604),"OK","Check")</f>
        <v>OK</v>
      </c>
      <c r="P604" s="6">
        <f t="shared" si="64"/>
        <v>3.2658962216064431</v>
      </c>
      <c r="Q604" s="6">
        <f t="shared" si="65"/>
        <v>20.686719636776392</v>
      </c>
      <c r="R604" s="6">
        <f t="shared" si="66"/>
        <v>62.688614540466389</v>
      </c>
      <c r="S604" s="6">
        <f t="shared" si="67"/>
        <v>45.076586433260395</v>
      </c>
      <c r="T604" s="6">
        <f t="shared" si="68"/>
        <v>1208.3176182824864</v>
      </c>
      <c r="U604" s="6">
        <f t="shared" si="69"/>
        <v>13.083176182824864</v>
      </c>
    </row>
    <row r="605" spans="1:21" x14ac:dyDescent="0.3">
      <c r="A605" s="2">
        <v>45805</v>
      </c>
      <c r="B605" t="s">
        <v>15</v>
      </c>
      <c r="C605" t="s">
        <v>20</v>
      </c>
      <c r="D605" t="s">
        <v>25</v>
      </c>
      <c r="E605" t="s">
        <v>28</v>
      </c>
      <c r="F605">
        <v>173020</v>
      </c>
      <c r="G605">
        <v>10599</v>
      </c>
      <c r="H605">
        <v>1880</v>
      </c>
      <c r="I605">
        <v>1217</v>
      </c>
      <c r="J605">
        <v>720</v>
      </c>
      <c r="K605" s="4">
        <v>77910.38</v>
      </c>
      <c r="L605" s="4">
        <v>3240631.4</v>
      </c>
      <c r="M605" t="s">
        <v>33</v>
      </c>
      <c r="N605">
        <f t="shared" si="63"/>
        <v>1</v>
      </c>
      <c r="O605" t="str">
        <f>IF(AND(G605&lt;=F605,H605&lt;=G605,I605&lt;=H605,J605&lt;=I605),"OK","Check")</f>
        <v>OK</v>
      </c>
      <c r="P605" s="6">
        <f t="shared" si="64"/>
        <v>6.1258814009941052</v>
      </c>
      <c r="Q605" s="6">
        <f t="shared" si="65"/>
        <v>17.737522407774318</v>
      </c>
      <c r="R605" s="6">
        <f t="shared" si="66"/>
        <v>64.734042553191486</v>
      </c>
      <c r="S605" s="6">
        <f t="shared" si="67"/>
        <v>59.161873459326209</v>
      </c>
      <c r="T605" s="6">
        <f t="shared" si="68"/>
        <v>4059.4347248723466</v>
      </c>
      <c r="U605" s="6">
        <f t="shared" si="69"/>
        <v>41.594347248723466</v>
      </c>
    </row>
    <row r="606" spans="1:21" x14ac:dyDescent="0.3">
      <c r="A606" s="2">
        <v>45806</v>
      </c>
      <c r="B606" t="s">
        <v>14</v>
      </c>
      <c r="C606" t="s">
        <v>19</v>
      </c>
      <c r="D606" t="s">
        <v>24</v>
      </c>
      <c r="E606" t="s">
        <v>86</v>
      </c>
      <c r="F606">
        <v>208326</v>
      </c>
      <c r="G606">
        <v>16547</v>
      </c>
      <c r="H606">
        <v>2535</v>
      </c>
      <c r="I606">
        <v>1311</v>
      </c>
      <c r="J606">
        <v>579</v>
      </c>
      <c r="K606" s="4">
        <v>128714.62</v>
      </c>
      <c r="L606" s="4">
        <v>2105892.5099999998</v>
      </c>
      <c r="M606" t="s">
        <v>34</v>
      </c>
      <c r="N606">
        <f t="shared" si="63"/>
        <v>1</v>
      </c>
      <c r="O606" t="str">
        <f>IF(AND(G606&lt;=F606,H606&lt;=G606,I606&lt;=H606,J606&lt;=I606),"OK","Check")</f>
        <v>OK</v>
      </c>
      <c r="P606" s="6">
        <f t="shared" si="64"/>
        <v>7.9428395879534959</v>
      </c>
      <c r="Q606" s="6">
        <f t="shared" si="65"/>
        <v>15.31999758264338</v>
      </c>
      <c r="R606" s="6">
        <f t="shared" si="66"/>
        <v>51.715976331360949</v>
      </c>
      <c r="S606" s="6">
        <f t="shared" si="67"/>
        <v>44.164759725400458</v>
      </c>
      <c r="T606" s="6">
        <f t="shared" si="68"/>
        <v>1536.0942603101339</v>
      </c>
      <c r="U606" s="6">
        <f t="shared" si="69"/>
        <v>16.360942603101339</v>
      </c>
    </row>
    <row r="607" spans="1:21" x14ac:dyDescent="0.3">
      <c r="A607" s="2">
        <v>45806</v>
      </c>
      <c r="B607" t="s">
        <v>15</v>
      </c>
      <c r="C607" t="s">
        <v>20</v>
      </c>
      <c r="D607" t="s">
        <v>25</v>
      </c>
      <c r="E607" t="s">
        <v>29</v>
      </c>
      <c r="F607">
        <v>254367</v>
      </c>
      <c r="G607">
        <v>11373</v>
      </c>
      <c r="H607">
        <v>2455</v>
      </c>
      <c r="I607">
        <v>1286</v>
      </c>
      <c r="J607">
        <v>523</v>
      </c>
      <c r="K607" s="4">
        <v>144783.34</v>
      </c>
      <c r="L607" s="4">
        <v>3534997.28</v>
      </c>
      <c r="M607" t="s">
        <v>31</v>
      </c>
      <c r="N607">
        <f t="shared" si="63"/>
        <v>1</v>
      </c>
      <c r="O607" t="str">
        <f>IF(AND(G607&lt;=F607,H607&lt;=G607,I607&lt;=H607,J607&lt;=I607),"OK","Check")</f>
        <v>OK</v>
      </c>
      <c r="P607" s="6">
        <f t="shared" si="64"/>
        <v>4.4710988453690925</v>
      </c>
      <c r="Q607" s="6">
        <f t="shared" si="65"/>
        <v>21.58621296052053</v>
      </c>
      <c r="R607" s="6">
        <f t="shared" si="66"/>
        <v>52.382892057026474</v>
      </c>
      <c r="S607" s="6">
        <f t="shared" si="67"/>
        <v>40.668740279937794</v>
      </c>
      <c r="T607" s="6">
        <f t="shared" si="68"/>
        <v>2341.5773803809193</v>
      </c>
      <c r="U607" s="6">
        <f t="shared" si="69"/>
        <v>24.415773803809195</v>
      </c>
    </row>
    <row r="608" spans="1:21" x14ac:dyDescent="0.3">
      <c r="A608" s="2">
        <v>45807</v>
      </c>
      <c r="B608" t="s">
        <v>14</v>
      </c>
      <c r="C608" t="s">
        <v>19</v>
      </c>
      <c r="D608" t="s">
        <v>24</v>
      </c>
      <c r="E608" t="s">
        <v>86</v>
      </c>
      <c r="F608">
        <v>221642</v>
      </c>
      <c r="G608">
        <v>16515</v>
      </c>
      <c r="H608">
        <v>3805</v>
      </c>
      <c r="I608">
        <v>2059</v>
      </c>
      <c r="J608">
        <v>1044</v>
      </c>
      <c r="K608" s="4">
        <v>213043.67</v>
      </c>
      <c r="L608" s="4">
        <v>5794495.5199999996</v>
      </c>
      <c r="M608" t="s">
        <v>35</v>
      </c>
      <c r="N608">
        <f t="shared" si="63"/>
        <v>1</v>
      </c>
      <c r="O608" t="str">
        <f>IF(AND(G608&lt;=F608,H608&lt;=G608,I608&lt;=H608,J608&lt;=I608),"OK","Check")</f>
        <v>OK</v>
      </c>
      <c r="P608" s="6">
        <f t="shared" si="64"/>
        <v>7.45120509650698</v>
      </c>
      <c r="Q608" s="6">
        <f t="shared" si="65"/>
        <v>23.039660914320315</v>
      </c>
      <c r="R608" s="6">
        <f t="shared" si="66"/>
        <v>54.113009198423121</v>
      </c>
      <c r="S608" s="6">
        <f t="shared" si="67"/>
        <v>50.704225352112672</v>
      </c>
      <c r="T608" s="6">
        <f t="shared" si="68"/>
        <v>2619.862796205116</v>
      </c>
      <c r="U608" s="6">
        <f t="shared" si="69"/>
        <v>27.198627962051155</v>
      </c>
    </row>
    <row r="609" spans="1:21" x14ac:dyDescent="0.3">
      <c r="A609" s="2">
        <v>45807</v>
      </c>
      <c r="B609" t="s">
        <v>15</v>
      </c>
      <c r="C609" t="s">
        <v>20</v>
      </c>
      <c r="D609" t="s">
        <v>25</v>
      </c>
      <c r="E609" t="s">
        <v>28</v>
      </c>
      <c r="F609">
        <v>171248</v>
      </c>
      <c r="G609">
        <v>12218</v>
      </c>
      <c r="H609">
        <v>1850</v>
      </c>
      <c r="I609">
        <v>1118</v>
      </c>
      <c r="J609">
        <v>623</v>
      </c>
      <c r="K609" s="4">
        <v>161173.5</v>
      </c>
      <c r="L609" s="4">
        <v>4380151.08</v>
      </c>
      <c r="M609" t="s">
        <v>34</v>
      </c>
      <c r="N609">
        <f t="shared" si="63"/>
        <v>1</v>
      </c>
      <c r="O609" t="str">
        <f>IF(AND(G609&lt;=F609,H609&lt;=G609,I609&lt;=H609,J609&lt;=I609),"OK","Check")</f>
        <v>OK</v>
      </c>
      <c r="P609" s="6">
        <f t="shared" si="64"/>
        <v>7.1346818648976917</v>
      </c>
      <c r="Q609" s="6">
        <f t="shared" si="65"/>
        <v>15.141594368963823</v>
      </c>
      <c r="R609" s="6">
        <f t="shared" si="66"/>
        <v>60.432432432432435</v>
      </c>
      <c r="S609" s="6">
        <f t="shared" si="67"/>
        <v>55.724508050089447</v>
      </c>
      <c r="T609" s="6">
        <f t="shared" si="68"/>
        <v>2617.6620722389225</v>
      </c>
      <c r="U609" s="6">
        <f t="shared" si="69"/>
        <v>27.176620722389227</v>
      </c>
    </row>
    <row r="610" spans="1:21" x14ac:dyDescent="0.3">
      <c r="A610" s="2">
        <v>45808</v>
      </c>
      <c r="B610" t="s">
        <v>14</v>
      </c>
      <c r="C610" t="s">
        <v>19</v>
      </c>
      <c r="D610" t="s">
        <v>24</v>
      </c>
      <c r="E610" t="s">
        <v>86</v>
      </c>
      <c r="F610">
        <v>172441</v>
      </c>
      <c r="G610">
        <v>10888</v>
      </c>
      <c r="H610">
        <v>1929</v>
      </c>
      <c r="I610">
        <v>985</v>
      </c>
      <c r="J610">
        <v>439</v>
      </c>
      <c r="K610" s="4">
        <v>111414.3</v>
      </c>
      <c r="L610" s="4">
        <v>2807015.16</v>
      </c>
      <c r="M610" t="s">
        <v>31</v>
      </c>
      <c r="N610">
        <f t="shared" si="63"/>
        <v>1</v>
      </c>
      <c r="O610" t="str">
        <f>IF(AND(G610&lt;=F610,H610&lt;=G610,I610&lt;=H610,J610&lt;=I610),"OK","Check")</f>
        <v>OK</v>
      </c>
      <c r="P610" s="6">
        <f t="shared" si="64"/>
        <v>6.3140436439129903</v>
      </c>
      <c r="Q610" s="6">
        <f t="shared" si="65"/>
        <v>17.716752387950034</v>
      </c>
      <c r="R610" s="6">
        <f t="shared" si="66"/>
        <v>51.062726801451532</v>
      </c>
      <c r="S610" s="6">
        <f t="shared" si="67"/>
        <v>44.568527918781726</v>
      </c>
      <c r="T610" s="6">
        <f t="shared" si="68"/>
        <v>2419.4388512067126</v>
      </c>
      <c r="U610" s="6">
        <f t="shared" si="69"/>
        <v>25.194388512067125</v>
      </c>
    </row>
    <row r="611" spans="1:21" x14ac:dyDescent="0.3">
      <c r="A611" s="2">
        <v>45808</v>
      </c>
      <c r="B611" t="s">
        <v>15</v>
      </c>
      <c r="C611" t="s">
        <v>20</v>
      </c>
      <c r="D611" t="s">
        <v>25</v>
      </c>
      <c r="E611" t="s">
        <v>28</v>
      </c>
      <c r="F611">
        <v>79898</v>
      </c>
      <c r="G611">
        <v>3387</v>
      </c>
      <c r="H611">
        <v>708</v>
      </c>
      <c r="I611">
        <v>348</v>
      </c>
      <c r="J611">
        <v>144</v>
      </c>
      <c r="K611" s="4">
        <v>46053.63</v>
      </c>
      <c r="L611" s="4">
        <v>664446.17000000004</v>
      </c>
      <c r="M611" t="s">
        <v>33</v>
      </c>
      <c r="N611">
        <f t="shared" si="63"/>
        <v>1</v>
      </c>
      <c r="O611" t="str">
        <f>IF(AND(G611&lt;=F611,H611&lt;=G611,I611&lt;=H611,J611&lt;=I611),"OK","Check")</f>
        <v>OK</v>
      </c>
      <c r="P611" s="6">
        <f t="shared" si="64"/>
        <v>4.2391549225262208</v>
      </c>
      <c r="Q611" s="6">
        <f t="shared" si="65"/>
        <v>20.903454384410981</v>
      </c>
      <c r="R611" s="6">
        <f t="shared" si="66"/>
        <v>49.152542372881356</v>
      </c>
      <c r="S611" s="6">
        <f t="shared" si="67"/>
        <v>41.379310344827587</v>
      </c>
      <c r="T611" s="6">
        <f t="shared" si="68"/>
        <v>1342.7661185448358</v>
      </c>
      <c r="U611" s="6">
        <f t="shared" si="69"/>
        <v>14.427661185448358</v>
      </c>
    </row>
    <row r="612" spans="1:21" x14ac:dyDescent="0.3">
      <c r="A612" s="2">
        <v>45809</v>
      </c>
      <c r="B612" t="s">
        <v>14</v>
      </c>
      <c r="C612" t="s">
        <v>19</v>
      </c>
      <c r="D612" t="s">
        <v>24</v>
      </c>
      <c r="E612" t="s">
        <v>86</v>
      </c>
      <c r="F612">
        <v>179655</v>
      </c>
      <c r="G612">
        <v>5969</v>
      </c>
      <c r="H612">
        <v>1158</v>
      </c>
      <c r="I612">
        <v>725</v>
      </c>
      <c r="J612">
        <v>292</v>
      </c>
      <c r="K612" s="4">
        <v>107637.78</v>
      </c>
      <c r="L612" s="4">
        <v>1673092.65</v>
      </c>
      <c r="M612" t="s">
        <v>35</v>
      </c>
      <c r="N612">
        <f t="shared" si="63"/>
        <v>1</v>
      </c>
      <c r="O612" t="str">
        <f>IF(AND(G612&lt;=F612,H612&lt;=G612,I612&lt;=H612,J612&lt;=I612),"OK","Check")</f>
        <v>OK</v>
      </c>
      <c r="P612" s="6">
        <f t="shared" si="64"/>
        <v>3.3224791962372322</v>
      </c>
      <c r="Q612" s="6">
        <f t="shared" si="65"/>
        <v>19.400234545149942</v>
      </c>
      <c r="R612" s="6">
        <f t="shared" si="66"/>
        <v>62.607944732297064</v>
      </c>
      <c r="S612" s="6">
        <f t="shared" si="67"/>
        <v>40.275862068965516</v>
      </c>
      <c r="T612" s="6">
        <f t="shared" si="68"/>
        <v>1454.373055631582</v>
      </c>
      <c r="U612" s="6">
        <f t="shared" si="69"/>
        <v>15.54373055631582</v>
      </c>
    </row>
    <row r="613" spans="1:21" x14ac:dyDescent="0.3">
      <c r="A613" s="2">
        <v>45810</v>
      </c>
      <c r="B613" t="s">
        <v>14</v>
      </c>
      <c r="C613" t="s">
        <v>19</v>
      </c>
      <c r="D613" t="s">
        <v>24</v>
      </c>
      <c r="E613" t="s">
        <v>86</v>
      </c>
      <c r="F613">
        <v>112007</v>
      </c>
      <c r="G613">
        <v>7687</v>
      </c>
      <c r="H613">
        <v>1249</v>
      </c>
      <c r="I613">
        <v>590</v>
      </c>
      <c r="J613">
        <v>333</v>
      </c>
      <c r="K613" s="4">
        <v>69690.34</v>
      </c>
      <c r="L613" s="4">
        <v>1849660.24</v>
      </c>
      <c r="M613" t="s">
        <v>31</v>
      </c>
      <c r="N613">
        <f t="shared" si="63"/>
        <v>1</v>
      </c>
      <c r="O613" t="str">
        <f>IF(AND(G613&lt;=F613,H613&lt;=G613,I613&lt;=H613,J613&lt;=I613),"OK","Check")</f>
        <v>OK</v>
      </c>
      <c r="P613" s="6">
        <f t="shared" si="64"/>
        <v>6.8629639218977383</v>
      </c>
      <c r="Q613" s="6">
        <f t="shared" si="65"/>
        <v>16.248211265773381</v>
      </c>
      <c r="R613" s="6">
        <f t="shared" si="66"/>
        <v>47.237790232185752</v>
      </c>
      <c r="S613" s="6">
        <f t="shared" si="67"/>
        <v>56.440677966101696</v>
      </c>
      <c r="T613" s="6">
        <f t="shared" si="68"/>
        <v>2554.112808173988</v>
      </c>
      <c r="U613" s="6">
        <f t="shared" si="69"/>
        <v>26.541128081739881</v>
      </c>
    </row>
    <row r="614" spans="1:21" x14ac:dyDescent="0.3">
      <c r="A614" s="2">
        <v>45811</v>
      </c>
      <c r="B614" t="s">
        <v>14</v>
      </c>
      <c r="C614" t="s">
        <v>19</v>
      </c>
      <c r="D614" t="s">
        <v>24</v>
      </c>
      <c r="E614" t="s">
        <v>86</v>
      </c>
      <c r="F614">
        <v>77080</v>
      </c>
      <c r="G614">
        <v>2952</v>
      </c>
      <c r="H614">
        <v>558</v>
      </c>
      <c r="I614">
        <v>255</v>
      </c>
      <c r="J614">
        <v>145</v>
      </c>
      <c r="K614" s="4">
        <v>53641.08</v>
      </c>
      <c r="L614" s="4">
        <v>668676.1</v>
      </c>
      <c r="M614" t="s">
        <v>35</v>
      </c>
      <c r="N614">
        <f t="shared" si="63"/>
        <v>1</v>
      </c>
      <c r="O614" t="str">
        <f>IF(AND(G614&lt;=F614,H614&lt;=G614,I614&lt;=H614,J614&lt;=I614),"OK","Check")</f>
        <v>OK</v>
      </c>
      <c r="P614" s="6">
        <f t="shared" si="64"/>
        <v>3.8297872340425529</v>
      </c>
      <c r="Q614" s="6">
        <f t="shared" si="65"/>
        <v>18.902439024390244</v>
      </c>
      <c r="R614" s="6">
        <f t="shared" si="66"/>
        <v>45.698924731182792</v>
      </c>
      <c r="S614" s="6">
        <f t="shared" si="67"/>
        <v>56.862745098039213</v>
      </c>
      <c r="T614" s="6">
        <f t="shared" si="68"/>
        <v>1146.574640182487</v>
      </c>
      <c r="U614" s="6">
        <f t="shared" si="69"/>
        <v>12.46574640182487</v>
      </c>
    </row>
    <row r="615" spans="1:21" x14ac:dyDescent="0.3">
      <c r="A615" s="2">
        <v>45812</v>
      </c>
      <c r="B615" t="s">
        <v>14</v>
      </c>
      <c r="C615" t="s">
        <v>19</v>
      </c>
      <c r="D615" t="s">
        <v>24</v>
      </c>
      <c r="E615" t="s">
        <v>86</v>
      </c>
      <c r="F615">
        <v>247271</v>
      </c>
      <c r="G615">
        <v>13740</v>
      </c>
      <c r="H615">
        <v>2356</v>
      </c>
      <c r="I615">
        <v>1075</v>
      </c>
      <c r="J615">
        <v>541</v>
      </c>
      <c r="K615" s="4">
        <v>224942.73</v>
      </c>
      <c r="L615" s="4">
        <v>3479855.38</v>
      </c>
      <c r="M615" t="s">
        <v>31</v>
      </c>
      <c r="N615">
        <f t="shared" si="63"/>
        <v>1</v>
      </c>
      <c r="O615" t="str">
        <f>IF(AND(G615&lt;=F615,H615&lt;=G615,I615&lt;=H615,J615&lt;=I615),"OK","Check")</f>
        <v>OK</v>
      </c>
      <c r="P615" s="6">
        <f t="shared" si="64"/>
        <v>5.5566564619385206</v>
      </c>
      <c r="Q615" s="6">
        <f t="shared" si="65"/>
        <v>17.147016011644833</v>
      </c>
      <c r="R615" s="6">
        <f t="shared" si="66"/>
        <v>45.62818336162988</v>
      </c>
      <c r="S615" s="6">
        <f t="shared" si="67"/>
        <v>50.325581395348841</v>
      </c>
      <c r="T615" s="6">
        <f t="shared" si="68"/>
        <v>1446.9961531986385</v>
      </c>
      <c r="U615" s="6">
        <f t="shared" si="69"/>
        <v>15.469961531986385</v>
      </c>
    </row>
    <row r="616" spans="1:21" x14ac:dyDescent="0.3">
      <c r="A616" s="2">
        <v>45813</v>
      </c>
      <c r="B616" t="s">
        <v>14</v>
      </c>
      <c r="C616" t="s">
        <v>19</v>
      </c>
      <c r="D616" t="s">
        <v>24</v>
      </c>
      <c r="E616" t="s">
        <v>86</v>
      </c>
      <c r="F616">
        <v>228774</v>
      </c>
      <c r="G616">
        <v>15253</v>
      </c>
      <c r="H616">
        <v>3595</v>
      </c>
      <c r="I616">
        <v>2264</v>
      </c>
      <c r="J616">
        <v>989</v>
      </c>
      <c r="K616" s="4">
        <v>192239.45</v>
      </c>
      <c r="L616" s="4">
        <v>3767177.71</v>
      </c>
      <c r="M616" t="s">
        <v>34</v>
      </c>
      <c r="N616">
        <f t="shared" si="63"/>
        <v>1</v>
      </c>
      <c r="O616" t="str">
        <f>IF(AND(G616&lt;=F616,H616&lt;=G616,I616&lt;=H616,J616&lt;=I616),"OK","Check")</f>
        <v>OK</v>
      </c>
      <c r="P616" s="6">
        <f t="shared" si="64"/>
        <v>6.6672786243191968</v>
      </c>
      <c r="Q616" s="6">
        <f t="shared" si="65"/>
        <v>23.569133940864091</v>
      </c>
      <c r="R616" s="6">
        <f t="shared" si="66"/>
        <v>62.976356050069541</v>
      </c>
      <c r="S616" s="6">
        <f t="shared" si="67"/>
        <v>43.683745583038871</v>
      </c>
      <c r="T616" s="6">
        <f t="shared" si="68"/>
        <v>1859.6278027220737</v>
      </c>
      <c r="U616" s="6">
        <f t="shared" si="69"/>
        <v>19.596278027220738</v>
      </c>
    </row>
    <row r="617" spans="1:21" x14ac:dyDescent="0.3">
      <c r="A617" s="2">
        <v>45814</v>
      </c>
      <c r="B617" t="s">
        <v>14</v>
      </c>
      <c r="C617" t="s">
        <v>19</v>
      </c>
      <c r="D617" t="s">
        <v>24</v>
      </c>
      <c r="E617" t="s">
        <v>86</v>
      </c>
      <c r="F617">
        <v>140336</v>
      </c>
      <c r="G617">
        <v>10973</v>
      </c>
      <c r="H617">
        <v>2525</v>
      </c>
      <c r="I617">
        <v>1411</v>
      </c>
      <c r="J617">
        <v>738</v>
      </c>
      <c r="K617" s="4">
        <v>101941.71</v>
      </c>
      <c r="L617" s="4">
        <v>3405726.7</v>
      </c>
      <c r="M617" t="s">
        <v>34</v>
      </c>
      <c r="N617">
        <f t="shared" si="63"/>
        <v>1</v>
      </c>
      <c r="O617" t="str">
        <f>IF(AND(G617&lt;=F617,H617&lt;=G617,I617&lt;=H617,J617&lt;=I617),"OK","Check")</f>
        <v>OK</v>
      </c>
      <c r="P617" s="6">
        <f t="shared" si="64"/>
        <v>7.8190913236803103</v>
      </c>
      <c r="Q617" s="6">
        <f t="shared" si="65"/>
        <v>23.011027066435798</v>
      </c>
      <c r="R617" s="6">
        <f t="shared" si="66"/>
        <v>55.881188118811885</v>
      </c>
      <c r="S617" s="6">
        <f t="shared" si="67"/>
        <v>52.303330970942596</v>
      </c>
      <c r="T617" s="6">
        <f t="shared" si="68"/>
        <v>3240.8569465825126</v>
      </c>
      <c r="U617" s="6">
        <f t="shared" si="69"/>
        <v>33.408569465825124</v>
      </c>
    </row>
    <row r="618" spans="1:21" x14ac:dyDescent="0.3">
      <c r="A618" s="2">
        <v>45815</v>
      </c>
      <c r="B618" t="s">
        <v>14</v>
      </c>
      <c r="C618" t="s">
        <v>19</v>
      </c>
      <c r="D618" t="s">
        <v>24</v>
      </c>
      <c r="E618" t="s">
        <v>86</v>
      </c>
      <c r="F618">
        <v>255443</v>
      </c>
      <c r="G618">
        <v>9636</v>
      </c>
      <c r="H618">
        <v>2306</v>
      </c>
      <c r="I618">
        <v>1082</v>
      </c>
      <c r="J618">
        <v>528</v>
      </c>
      <c r="K618" s="4">
        <v>108919.31</v>
      </c>
      <c r="L618" s="4">
        <v>1641515.54</v>
      </c>
      <c r="M618" t="s">
        <v>32</v>
      </c>
      <c r="N618">
        <f t="shared" si="63"/>
        <v>1</v>
      </c>
      <c r="O618" t="str">
        <f>IF(AND(G618&lt;=F618,H618&lt;=G618,I618&lt;=H618,J618&lt;=I618),"OK","Check")</f>
        <v>OK</v>
      </c>
      <c r="P618" s="6">
        <f t="shared" si="64"/>
        <v>3.7722701346288607</v>
      </c>
      <c r="Q618" s="6">
        <f t="shared" si="65"/>
        <v>23.931091739310915</v>
      </c>
      <c r="R618" s="6">
        <f t="shared" si="66"/>
        <v>46.921075455333913</v>
      </c>
      <c r="S618" s="6">
        <f t="shared" si="67"/>
        <v>48.798521256931608</v>
      </c>
      <c r="T618" s="6">
        <f t="shared" si="68"/>
        <v>1407.0932234146544</v>
      </c>
      <c r="U618" s="6">
        <f t="shared" si="69"/>
        <v>15.070932234146545</v>
      </c>
    </row>
    <row r="619" spans="1:21" x14ac:dyDescent="0.3">
      <c r="A619" s="2">
        <v>45816</v>
      </c>
      <c r="B619" t="s">
        <v>14</v>
      </c>
      <c r="C619" t="s">
        <v>19</v>
      </c>
      <c r="D619" t="s">
        <v>24</v>
      </c>
      <c r="E619" t="s">
        <v>86</v>
      </c>
      <c r="F619">
        <v>153084</v>
      </c>
      <c r="G619">
        <v>4907</v>
      </c>
      <c r="H619">
        <v>999</v>
      </c>
      <c r="I619">
        <v>538</v>
      </c>
      <c r="J619">
        <v>307</v>
      </c>
      <c r="K619" s="4">
        <v>97654.25</v>
      </c>
      <c r="L619" s="4">
        <v>1586488.03</v>
      </c>
      <c r="M619" t="s">
        <v>33</v>
      </c>
      <c r="N619">
        <f t="shared" si="63"/>
        <v>1</v>
      </c>
      <c r="O619" t="str">
        <f>IF(AND(G619&lt;=F619,H619&lt;=G619,I619&lt;=H619,J619&lt;=I619),"OK","Check")</f>
        <v>OK</v>
      </c>
      <c r="P619" s="6">
        <f t="shared" si="64"/>
        <v>3.2054296987274959</v>
      </c>
      <c r="Q619" s="6">
        <f t="shared" si="65"/>
        <v>20.358671285918074</v>
      </c>
      <c r="R619" s="6">
        <f t="shared" si="66"/>
        <v>53.853853853853849</v>
      </c>
      <c r="S619" s="6">
        <f t="shared" si="67"/>
        <v>57.063197026022308</v>
      </c>
      <c r="T619" s="6">
        <f t="shared" si="68"/>
        <v>1524.5970144668563</v>
      </c>
      <c r="U619" s="6">
        <f t="shared" si="69"/>
        <v>16.245970144668561</v>
      </c>
    </row>
    <row r="620" spans="1:21" x14ac:dyDescent="0.3">
      <c r="A620" s="2">
        <v>45817</v>
      </c>
      <c r="B620" t="s">
        <v>14</v>
      </c>
      <c r="C620" t="s">
        <v>19</v>
      </c>
      <c r="D620" t="s">
        <v>24</v>
      </c>
      <c r="E620" t="s">
        <v>86</v>
      </c>
      <c r="F620">
        <v>114699</v>
      </c>
      <c r="G620">
        <v>4802</v>
      </c>
      <c r="H620">
        <v>801</v>
      </c>
      <c r="I620">
        <v>375</v>
      </c>
      <c r="J620">
        <v>175</v>
      </c>
      <c r="K620" s="4">
        <v>79599.73</v>
      </c>
      <c r="L620" s="4">
        <v>1126490.56</v>
      </c>
      <c r="M620" t="s">
        <v>32</v>
      </c>
      <c r="N620">
        <f t="shared" si="63"/>
        <v>1</v>
      </c>
      <c r="O620" t="str">
        <f>IF(AND(G620&lt;=F620,H620&lt;=G620,I620&lt;=H620,J620&lt;=I620),"OK","Check")</f>
        <v>OK</v>
      </c>
      <c r="P620" s="6">
        <f t="shared" si="64"/>
        <v>4.1866101709692325</v>
      </c>
      <c r="Q620" s="6">
        <f t="shared" si="65"/>
        <v>16.680549770928778</v>
      </c>
      <c r="R620" s="6">
        <f t="shared" si="66"/>
        <v>46.81647940074906</v>
      </c>
      <c r="S620" s="6">
        <f t="shared" si="67"/>
        <v>46.666666666666664</v>
      </c>
      <c r="T620" s="6">
        <f t="shared" si="68"/>
        <v>1315.1939460096162</v>
      </c>
      <c r="U620" s="6">
        <f t="shared" si="69"/>
        <v>14.151939460096161</v>
      </c>
    </row>
    <row r="621" spans="1:21" x14ac:dyDescent="0.3">
      <c r="A621" s="2">
        <v>45818</v>
      </c>
      <c r="B621" t="s">
        <v>14</v>
      </c>
      <c r="C621" t="s">
        <v>19</v>
      </c>
      <c r="D621" t="s">
        <v>24</v>
      </c>
      <c r="E621" t="s">
        <v>86</v>
      </c>
      <c r="F621">
        <v>228607</v>
      </c>
      <c r="G621">
        <v>11316</v>
      </c>
      <c r="H621">
        <v>2761</v>
      </c>
      <c r="I621">
        <v>1577</v>
      </c>
      <c r="J621">
        <v>831</v>
      </c>
      <c r="K621" s="4">
        <v>199079.5</v>
      </c>
      <c r="L621" s="4">
        <v>5513047.8600000003</v>
      </c>
      <c r="M621" t="s">
        <v>34</v>
      </c>
      <c r="N621">
        <f t="shared" si="63"/>
        <v>1</v>
      </c>
      <c r="O621" t="str">
        <f>IF(AND(G621&lt;=F621,H621&lt;=G621,I621&lt;=H621,J621&lt;=I621),"OK","Check")</f>
        <v>OK</v>
      </c>
      <c r="P621" s="6">
        <f t="shared" si="64"/>
        <v>4.9499796594155034</v>
      </c>
      <c r="Q621" s="6">
        <f t="shared" si="65"/>
        <v>24.39908094733121</v>
      </c>
      <c r="R621" s="6">
        <f t="shared" si="66"/>
        <v>57.116986599058315</v>
      </c>
      <c r="S621" s="6">
        <f t="shared" si="67"/>
        <v>52.694990488268864</v>
      </c>
      <c r="T621" s="6">
        <f t="shared" si="68"/>
        <v>2669.2694928408</v>
      </c>
      <c r="U621" s="6">
        <f t="shared" si="69"/>
        <v>27.692694928407999</v>
      </c>
    </row>
    <row r="622" spans="1:21" x14ac:dyDescent="0.3">
      <c r="A622" s="2">
        <v>45819</v>
      </c>
      <c r="B622" t="s">
        <v>14</v>
      </c>
      <c r="C622" t="s">
        <v>19</v>
      </c>
      <c r="D622" t="s">
        <v>24</v>
      </c>
      <c r="E622" t="s">
        <v>86</v>
      </c>
      <c r="F622">
        <v>115246</v>
      </c>
      <c r="G622">
        <v>7658</v>
      </c>
      <c r="H622">
        <v>1593</v>
      </c>
      <c r="I622">
        <v>756</v>
      </c>
      <c r="J622">
        <v>338</v>
      </c>
      <c r="K622" s="4">
        <v>111946.04</v>
      </c>
      <c r="L622" s="4">
        <v>2482396.52</v>
      </c>
      <c r="M622" t="s">
        <v>32</v>
      </c>
      <c r="N622">
        <f t="shared" si="63"/>
        <v>1</v>
      </c>
      <c r="O622" t="str">
        <f>IF(AND(G622&lt;=F622,H622&lt;=G622,I622&lt;=H622,J622&lt;=I622),"OK","Check")</f>
        <v>OK</v>
      </c>
      <c r="P622" s="6">
        <f t="shared" si="64"/>
        <v>6.6449160925324966</v>
      </c>
      <c r="Q622" s="6">
        <f t="shared" si="65"/>
        <v>20.801775920605902</v>
      </c>
      <c r="R622" s="6">
        <f t="shared" si="66"/>
        <v>47.457627118644069</v>
      </c>
      <c r="S622" s="6">
        <f t="shared" si="67"/>
        <v>44.708994708994709</v>
      </c>
      <c r="T622" s="6">
        <f t="shared" si="68"/>
        <v>2117.4938211302519</v>
      </c>
      <c r="U622" s="6">
        <f t="shared" si="69"/>
        <v>22.174938211302518</v>
      </c>
    </row>
    <row r="623" spans="1:21" x14ac:dyDescent="0.3">
      <c r="A623" s="2">
        <v>45820</v>
      </c>
      <c r="B623" t="s">
        <v>14</v>
      </c>
      <c r="C623" t="s">
        <v>19</v>
      </c>
      <c r="D623" t="s">
        <v>24</v>
      </c>
      <c r="E623" t="s">
        <v>86</v>
      </c>
      <c r="F623">
        <v>265508</v>
      </c>
      <c r="G623">
        <v>9396</v>
      </c>
      <c r="H623">
        <v>1593</v>
      </c>
      <c r="I623">
        <v>898</v>
      </c>
      <c r="J623">
        <v>489</v>
      </c>
      <c r="K623" s="4">
        <v>184408.86</v>
      </c>
      <c r="L623" s="4">
        <v>2219084.9500000002</v>
      </c>
      <c r="M623" t="s">
        <v>34</v>
      </c>
      <c r="N623">
        <f t="shared" si="63"/>
        <v>1</v>
      </c>
      <c r="O623" t="str">
        <f>IF(AND(G623&lt;=F623,H623&lt;=G623,I623&lt;=H623,J623&lt;=I623),"OK","Check")</f>
        <v>OK</v>
      </c>
      <c r="P623" s="6">
        <f t="shared" si="64"/>
        <v>3.5388764180363679</v>
      </c>
      <c r="Q623" s="6">
        <f t="shared" si="65"/>
        <v>16.954022988505745</v>
      </c>
      <c r="R623" s="6">
        <f t="shared" si="66"/>
        <v>56.371625863151287</v>
      </c>
      <c r="S623" s="6">
        <f t="shared" si="67"/>
        <v>54.454342984409799</v>
      </c>
      <c r="T623" s="6">
        <f t="shared" si="68"/>
        <v>1103.3505060440157</v>
      </c>
      <c r="U623" s="6">
        <f t="shared" si="69"/>
        <v>12.033505060440156</v>
      </c>
    </row>
    <row r="624" spans="1:21" x14ac:dyDescent="0.3">
      <c r="A624" s="2">
        <v>45821</v>
      </c>
      <c r="B624" t="s">
        <v>14</v>
      </c>
      <c r="C624" t="s">
        <v>19</v>
      </c>
      <c r="D624" t="s">
        <v>24</v>
      </c>
      <c r="E624" t="s">
        <v>86</v>
      </c>
      <c r="F624">
        <v>52092</v>
      </c>
      <c r="G624">
        <v>2486</v>
      </c>
      <c r="H624">
        <v>570</v>
      </c>
      <c r="I624">
        <v>350</v>
      </c>
      <c r="J624">
        <v>191</v>
      </c>
      <c r="K624" s="4">
        <v>35363.69</v>
      </c>
      <c r="L624" s="4">
        <v>1423038.59</v>
      </c>
      <c r="M624" t="s">
        <v>32</v>
      </c>
      <c r="N624">
        <f t="shared" si="63"/>
        <v>1</v>
      </c>
      <c r="O624" t="str">
        <f>IF(AND(G624&lt;=F624,H624&lt;=G624,I624&lt;=H624,J624&lt;=I624),"OK","Check")</f>
        <v>OK</v>
      </c>
      <c r="P624" s="6">
        <f t="shared" si="64"/>
        <v>4.7723258849727408</v>
      </c>
      <c r="Q624" s="6">
        <f t="shared" si="65"/>
        <v>22.928399034593724</v>
      </c>
      <c r="R624" s="6">
        <f t="shared" si="66"/>
        <v>61.403508771929829</v>
      </c>
      <c r="S624" s="6">
        <f t="shared" si="67"/>
        <v>54.571428571428569</v>
      </c>
      <c r="T624" s="6">
        <f t="shared" si="68"/>
        <v>3924.0104751512076</v>
      </c>
      <c r="U624" s="6">
        <f t="shared" si="69"/>
        <v>40.240104751512071</v>
      </c>
    </row>
    <row r="625" spans="1:21" x14ac:dyDescent="0.3">
      <c r="A625" s="2">
        <v>45822</v>
      </c>
      <c r="B625" t="s">
        <v>14</v>
      </c>
      <c r="C625" t="s">
        <v>19</v>
      </c>
      <c r="D625" t="s">
        <v>24</v>
      </c>
      <c r="E625" t="s">
        <v>86</v>
      </c>
      <c r="F625">
        <v>287149</v>
      </c>
      <c r="G625">
        <v>12655</v>
      </c>
      <c r="H625">
        <v>2180</v>
      </c>
      <c r="I625">
        <v>1116</v>
      </c>
      <c r="J625">
        <v>601</v>
      </c>
      <c r="K625" s="4">
        <v>241881.98</v>
      </c>
      <c r="L625" s="4">
        <v>4227409.95</v>
      </c>
      <c r="M625" t="s">
        <v>35</v>
      </c>
      <c r="N625">
        <f t="shared" si="63"/>
        <v>1</v>
      </c>
      <c r="O625" t="str">
        <f>IF(AND(G625&lt;=F625,H625&lt;=G625,I625&lt;=H625,J625&lt;=I625),"OK","Check")</f>
        <v>OK</v>
      </c>
      <c r="P625" s="6">
        <f t="shared" si="64"/>
        <v>4.407119648684132</v>
      </c>
      <c r="Q625" s="6">
        <f t="shared" si="65"/>
        <v>17.226392730146188</v>
      </c>
      <c r="R625" s="6">
        <f t="shared" si="66"/>
        <v>51.192660550458712</v>
      </c>
      <c r="S625" s="6">
        <f t="shared" si="67"/>
        <v>53.853046594982082</v>
      </c>
      <c r="T625" s="6">
        <f t="shared" si="68"/>
        <v>1647.7159522176889</v>
      </c>
      <c r="U625" s="6">
        <f t="shared" si="69"/>
        <v>17.477159522176891</v>
      </c>
    </row>
    <row r="626" spans="1:21" x14ac:dyDescent="0.3">
      <c r="A626" s="2">
        <v>45823</v>
      </c>
      <c r="B626" t="s">
        <v>14</v>
      </c>
      <c r="C626" t="s">
        <v>19</v>
      </c>
      <c r="D626" t="s">
        <v>24</v>
      </c>
      <c r="E626" t="s">
        <v>86</v>
      </c>
      <c r="F626">
        <v>149833</v>
      </c>
      <c r="G626">
        <v>7012</v>
      </c>
      <c r="H626">
        <v>1494</v>
      </c>
      <c r="I626">
        <v>738</v>
      </c>
      <c r="J626">
        <v>297</v>
      </c>
      <c r="K626" s="4">
        <v>131425.41</v>
      </c>
      <c r="L626" s="4">
        <v>1614620.18</v>
      </c>
      <c r="M626" t="s">
        <v>34</v>
      </c>
      <c r="N626">
        <f t="shared" si="63"/>
        <v>1</v>
      </c>
      <c r="O626" t="str">
        <f>IF(AND(G626&lt;=F626,H626&lt;=G626,I626&lt;=H626,J626&lt;=I626),"OK","Check")</f>
        <v>OK</v>
      </c>
      <c r="P626" s="6">
        <f t="shared" si="64"/>
        <v>4.6798769296483416</v>
      </c>
      <c r="Q626" s="6">
        <f t="shared" si="65"/>
        <v>21.306332002281803</v>
      </c>
      <c r="R626" s="6">
        <f t="shared" si="66"/>
        <v>49.397590361445779</v>
      </c>
      <c r="S626" s="6">
        <f t="shared" si="67"/>
        <v>40.243902439024396</v>
      </c>
      <c r="T626" s="6">
        <f t="shared" si="68"/>
        <v>1128.5449061943198</v>
      </c>
      <c r="U626" s="6">
        <f t="shared" si="69"/>
        <v>12.285449061943195</v>
      </c>
    </row>
    <row r="627" spans="1:21" x14ac:dyDescent="0.3">
      <c r="A627" s="2">
        <v>45824</v>
      </c>
      <c r="B627" t="s">
        <v>14</v>
      </c>
      <c r="C627" t="s">
        <v>19</v>
      </c>
      <c r="D627" t="s">
        <v>24</v>
      </c>
      <c r="E627" t="s">
        <v>86</v>
      </c>
      <c r="F627">
        <v>255927</v>
      </c>
      <c r="G627">
        <v>12698</v>
      </c>
      <c r="H627">
        <v>2565</v>
      </c>
      <c r="I627">
        <v>1291</v>
      </c>
      <c r="J627">
        <v>774</v>
      </c>
      <c r="K627" s="4">
        <v>163441.21</v>
      </c>
      <c r="L627" s="4">
        <v>4081467</v>
      </c>
      <c r="M627" t="s">
        <v>34</v>
      </c>
      <c r="N627">
        <f t="shared" si="63"/>
        <v>1</v>
      </c>
      <c r="O627" t="str">
        <f>IF(AND(G627&lt;=F627,H627&lt;=G627,I627&lt;=H627,J627&lt;=I627),"OK","Check")</f>
        <v>OK</v>
      </c>
      <c r="P627" s="6">
        <f t="shared" si="64"/>
        <v>4.9615710730012852</v>
      </c>
      <c r="Q627" s="6">
        <f t="shared" si="65"/>
        <v>20.200031501023783</v>
      </c>
      <c r="R627" s="6">
        <f t="shared" si="66"/>
        <v>50.331384015594537</v>
      </c>
      <c r="S627" s="6">
        <f t="shared" si="67"/>
        <v>59.95352439969016</v>
      </c>
      <c r="T627" s="6">
        <f t="shared" si="68"/>
        <v>2397.2080174883681</v>
      </c>
      <c r="U627" s="6">
        <f t="shared" si="69"/>
        <v>24.972080174883679</v>
      </c>
    </row>
    <row r="628" spans="1:21" x14ac:dyDescent="0.3">
      <c r="A628" s="2">
        <v>45825</v>
      </c>
      <c r="B628" t="s">
        <v>14</v>
      </c>
      <c r="C628" t="s">
        <v>19</v>
      </c>
      <c r="D628" t="s">
        <v>24</v>
      </c>
      <c r="E628" t="s">
        <v>86</v>
      </c>
      <c r="F628">
        <v>234335</v>
      </c>
      <c r="G628">
        <v>11764</v>
      </c>
      <c r="H628">
        <v>1932</v>
      </c>
      <c r="I628">
        <v>992</v>
      </c>
      <c r="J628">
        <v>435</v>
      </c>
      <c r="K628" s="4">
        <v>164277.07999999999</v>
      </c>
      <c r="L628" s="4">
        <v>1544374.71</v>
      </c>
      <c r="M628" t="s">
        <v>35</v>
      </c>
      <c r="N628">
        <f t="shared" si="63"/>
        <v>1</v>
      </c>
      <c r="O628" t="str">
        <f>IF(AND(G628&lt;=F628,H628&lt;=G628,I628&lt;=H628,J628&lt;=I628),"OK","Check")</f>
        <v>OK</v>
      </c>
      <c r="P628" s="6">
        <f t="shared" si="64"/>
        <v>5.0201634412273028</v>
      </c>
      <c r="Q628" s="6">
        <f t="shared" si="65"/>
        <v>16.42298537912275</v>
      </c>
      <c r="R628" s="6">
        <f t="shared" si="66"/>
        <v>51.345755693581786</v>
      </c>
      <c r="S628" s="6">
        <f t="shared" si="67"/>
        <v>43.850806451612904</v>
      </c>
      <c r="T628" s="6">
        <f t="shared" si="68"/>
        <v>840.10357987858072</v>
      </c>
      <c r="U628" s="6">
        <f t="shared" si="69"/>
        <v>9.4010357987858075</v>
      </c>
    </row>
    <row r="629" spans="1:21" x14ac:dyDescent="0.3">
      <c r="A629" s="2">
        <v>45826</v>
      </c>
      <c r="B629" t="s">
        <v>14</v>
      </c>
      <c r="C629" t="s">
        <v>19</v>
      </c>
      <c r="D629" t="s">
        <v>24</v>
      </c>
      <c r="E629" t="s">
        <v>86</v>
      </c>
      <c r="F629">
        <v>146202</v>
      </c>
      <c r="G629">
        <v>11655</v>
      </c>
      <c r="H629">
        <v>2425</v>
      </c>
      <c r="I629">
        <v>1140</v>
      </c>
      <c r="J629">
        <v>460</v>
      </c>
      <c r="K629" s="4">
        <v>79710.710000000006</v>
      </c>
      <c r="L629" s="4">
        <v>2166582.31</v>
      </c>
      <c r="M629" t="s">
        <v>33</v>
      </c>
      <c r="N629">
        <f t="shared" si="63"/>
        <v>1</v>
      </c>
      <c r="O629" t="str">
        <f>IF(AND(G629&lt;=F629,H629&lt;=G629,I629&lt;=H629,J629&lt;=I629),"OK","Check")</f>
        <v>OK</v>
      </c>
      <c r="P629" s="6">
        <f t="shared" si="64"/>
        <v>7.9718471703533469</v>
      </c>
      <c r="Q629" s="6">
        <f t="shared" si="65"/>
        <v>20.806520806520805</v>
      </c>
      <c r="R629" s="6">
        <f t="shared" si="66"/>
        <v>47.010309278350512</v>
      </c>
      <c r="S629" s="6">
        <f t="shared" si="67"/>
        <v>40.350877192982452</v>
      </c>
      <c r="T629" s="6">
        <f t="shared" si="68"/>
        <v>2618.0567203579039</v>
      </c>
      <c r="U629" s="6">
        <f t="shared" si="69"/>
        <v>27.180567203579042</v>
      </c>
    </row>
    <row r="630" spans="1:21" x14ac:dyDescent="0.3">
      <c r="A630" s="2">
        <v>45827</v>
      </c>
      <c r="B630" t="s">
        <v>14</v>
      </c>
      <c r="C630" t="s">
        <v>19</v>
      </c>
      <c r="D630" t="s">
        <v>24</v>
      </c>
      <c r="E630" t="s">
        <v>86</v>
      </c>
      <c r="F630">
        <v>169807</v>
      </c>
      <c r="G630">
        <v>5900</v>
      </c>
      <c r="H630">
        <v>1002</v>
      </c>
      <c r="I630">
        <v>543</v>
      </c>
      <c r="J630">
        <v>271</v>
      </c>
      <c r="K630" s="4">
        <v>167493.6</v>
      </c>
      <c r="L630" s="4">
        <v>1293759.1100000001</v>
      </c>
      <c r="M630" t="s">
        <v>34</v>
      </c>
      <c r="N630">
        <f t="shared" si="63"/>
        <v>1</v>
      </c>
      <c r="O630" t="str">
        <f>IF(AND(G630&lt;=F630,H630&lt;=G630,I630&lt;=H630,J630&lt;=I630),"OK","Check")</f>
        <v>OK</v>
      </c>
      <c r="P630" s="6">
        <f t="shared" si="64"/>
        <v>3.4745328520025676</v>
      </c>
      <c r="Q630" s="6">
        <f t="shared" si="65"/>
        <v>16.983050847457626</v>
      </c>
      <c r="R630" s="6">
        <f t="shared" si="66"/>
        <v>54.191616766467064</v>
      </c>
      <c r="S630" s="6">
        <f t="shared" si="67"/>
        <v>49.907918968692449</v>
      </c>
      <c r="T630" s="6">
        <f t="shared" si="68"/>
        <v>672.42301198374139</v>
      </c>
      <c r="U630" s="6">
        <f t="shared" si="69"/>
        <v>7.724230119837415</v>
      </c>
    </row>
    <row r="631" spans="1:21" x14ac:dyDescent="0.3">
      <c r="A631" s="2">
        <v>45828</v>
      </c>
      <c r="B631" t="s">
        <v>14</v>
      </c>
      <c r="C631" t="s">
        <v>19</v>
      </c>
      <c r="D631" t="s">
        <v>24</v>
      </c>
      <c r="E631" t="s">
        <v>86</v>
      </c>
      <c r="F631">
        <v>51060</v>
      </c>
      <c r="G631">
        <v>2259</v>
      </c>
      <c r="H631">
        <v>559</v>
      </c>
      <c r="I631">
        <v>276</v>
      </c>
      <c r="J631">
        <v>121</v>
      </c>
      <c r="K631" s="4">
        <v>41121.18</v>
      </c>
      <c r="L631" s="4">
        <v>556625.17000000004</v>
      </c>
      <c r="M631" t="s">
        <v>31</v>
      </c>
      <c r="N631">
        <f t="shared" si="63"/>
        <v>1</v>
      </c>
      <c r="O631" t="str">
        <f>IF(AND(G631&lt;=F631,H631&lt;=G631,I631&lt;=H631,J631&lt;=I631),"OK","Check")</f>
        <v>OK</v>
      </c>
      <c r="P631" s="6">
        <f t="shared" si="64"/>
        <v>4.4242068155111633</v>
      </c>
      <c r="Q631" s="6">
        <f t="shared" si="65"/>
        <v>24.745462594068172</v>
      </c>
      <c r="R631" s="6">
        <f t="shared" si="66"/>
        <v>49.373881932021469</v>
      </c>
      <c r="S631" s="6">
        <f t="shared" si="67"/>
        <v>43.840579710144929</v>
      </c>
      <c r="T631" s="6">
        <f t="shared" si="68"/>
        <v>1253.6215886800915</v>
      </c>
      <c r="U631" s="6">
        <f t="shared" si="69"/>
        <v>13.536215886800914</v>
      </c>
    </row>
    <row r="632" spans="1:21" x14ac:dyDescent="0.3">
      <c r="A632" s="2">
        <v>45829</v>
      </c>
      <c r="B632" t="s">
        <v>14</v>
      </c>
      <c r="C632" t="s">
        <v>19</v>
      </c>
      <c r="D632" t="s">
        <v>24</v>
      </c>
      <c r="E632" t="s">
        <v>86</v>
      </c>
      <c r="F632">
        <v>299910</v>
      </c>
      <c r="G632">
        <v>23654</v>
      </c>
      <c r="H632">
        <v>5219</v>
      </c>
      <c r="I632">
        <v>2461</v>
      </c>
      <c r="J632">
        <v>1471</v>
      </c>
      <c r="K632" s="4">
        <v>147276.92000000001</v>
      </c>
      <c r="L632" s="4">
        <v>7040894.9100000001</v>
      </c>
      <c r="M632" t="s">
        <v>35</v>
      </c>
      <c r="N632">
        <f t="shared" si="63"/>
        <v>1</v>
      </c>
      <c r="O632" t="str">
        <f>IF(AND(G632&lt;=F632,H632&lt;=G632,I632&lt;=H632,J632&lt;=I632),"OK","Check")</f>
        <v>OK</v>
      </c>
      <c r="P632" s="6">
        <f t="shared" si="64"/>
        <v>7.8870327764996171</v>
      </c>
      <c r="Q632" s="6">
        <f t="shared" si="65"/>
        <v>22.063921535469689</v>
      </c>
      <c r="R632" s="6">
        <f t="shared" si="66"/>
        <v>47.154627323241996</v>
      </c>
      <c r="S632" s="6">
        <f t="shared" si="67"/>
        <v>59.772450223486388</v>
      </c>
      <c r="T632" s="6">
        <f t="shared" si="68"/>
        <v>4680.7184655952879</v>
      </c>
      <c r="U632" s="6">
        <f t="shared" si="69"/>
        <v>47.807184655952881</v>
      </c>
    </row>
    <row r="633" spans="1:21" x14ac:dyDescent="0.3">
      <c r="A633" s="2">
        <v>45830</v>
      </c>
      <c r="B633" t="s">
        <v>14</v>
      </c>
      <c r="C633" t="s">
        <v>19</v>
      </c>
      <c r="D633" t="s">
        <v>24</v>
      </c>
      <c r="E633" t="s">
        <v>86</v>
      </c>
      <c r="F633">
        <v>118757</v>
      </c>
      <c r="G633">
        <v>6909</v>
      </c>
      <c r="H633">
        <v>1251</v>
      </c>
      <c r="I633">
        <v>711</v>
      </c>
      <c r="J633">
        <v>363</v>
      </c>
      <c r="K633" s="4">
        <v>97100.84</v>
      </c>
      <c r="L633" s="4">
        <v>2733839.18</v>
      </c>
      <c r="M633" t="s">
        <v>35</v>
      </c>
      <c r="N633">
        <f t="shared" si="63"/>
        <v>1</v>
      </c>
      <c r="O633" t="str">
        <f>IF(AND(G633&lt;=F633,H633&lt;=G633,I633&lt;=H633,J633&lt;=I633),"OK","Check")</f>
        <v>OK</v>
      </c>
      <c r="P633" s="6">
        <f t="shared" si="64"/>
        <v>5.8177623213789502</v>
      </c>
      <c r="Q633" s="6">
        <f t="shared" si="65"/>
        <v>18.106817194963092</v>
      </c>
      <c r="R633" s="6">
        <f t="shared" si="66"/>
        <v>56.834532374100718</v>
      </c>
      <c r="S633" s="6">
        <f t="shared" si="67"/>
        <v>51.054852320675103</v>
      </c>
      <c r="T633" s="6">
        <f t="shared" si="68"/>
        <v>2715.4639856874569</v>
      </c>
      <c r="U633" s="6">
        <f t="shared" si="69"/>
        <v>28.154639856874567</v>
      </c>
    </row>
    <row r="634" spans="1:21" x14ac:dyDescent="0.3">
      <c r="A634" s="2">
        <v>45831</v>
      </c>
      <c r="B634" t="s">
        <v>14</v>
      </c>
      <c r="C634" t="s">
        <v>19</v>
      </c>
      <c r="D634" t="s">
        <v>24</v>
      </c>
      <c r="E634" t="s">
        <v>86</v>
      </c>
      <c r="F634">
        <v>215965</v>
      </c>
      <c r="G634">
        <v>16744</v>
      </c>
      <c r="H634">
        <v>3264</v>
      </c>
      <c r="I634">
        <v>1645</v>
      </c>
      <c r="J634">
        <v>772</v>
      </c>
      <c r="K634" s="4">
        <v>138966.79999999999</v>
      </c>
      <c r="L634" s="4">
        <v>3706914.65</v>
      </c>
      <c r="M634" t="s">
        <v>31</v>
      </c>
      <c r="N634">
        <f t="shared" si="63"/>
        <v>1</v>
      </c>
      <c r="O634" t="str">
        <f>IF(AND(G634&lt;=F634,H634&lt;=G634,I634&lt;=H634,J634&lt;=I634),"OK","Check")</f>
        <v>OK</v>
      </c>
      <c r="P634" s="6">
        <f t="shared" si="64"/>
        <v>7.7531081425230939</v>
      </c>
      <c r="Q634" s="6">
        <f t="shared" si="65"/>
        <v>19.493549928332538</v>
      </c>
      <c r="R634" s="6">
        <f t="shared" si="66"/>
        <v>50.398284313725497</v>
      </c>
      <c r="S634" s="6">
        <f t="shared" si="67"/>
        <v>46.930091185410333</v>
      </c>
      <c r="T634" s="6">
        <f t="shared" si="68"/>
        <v>2567.4821971866663</v>
      </c>
      <c r="U634" s="6">
        <f t="shared" si="69"/>
        <v>26.674821971866663</v>
      </c>
    </row>
    <row r="635" spans="1:21" x14ac:dyDescent="0.3">
      <c r="A635" s="2">
        <v>45832</v>
      </c>
      <c r="B635" t="s">
        <v>14</v>
      </c>
      <c r="C635" t="s">
        <v>19</v>
      </c>
      <c r="D635" t="s">
        <v>24</v>
      </c>
      <c r="E635" t="s">
        <v>86</v>
      </c>
      <c r="F635">
        <v>251296</v>
      </c>
      <c r="G635">
        <v>15390</v>
      </c>
      <c r="H635">
        <v>3332</v>
      </c>
      <c r="I635">
        <v>1741</v>
      </c>
      <c r="J635">
        <v>721</v>
      </c>
      <c r="K635" s="4">
        <v>235593.68</v>
      </c>
      <c r="L635" s="4">
        <v>5070650.21</v>
      </c>
      <c r="M635" t="s">
        <v>31</v>
      </c>
      <c r="N635">
        <f t="shared" si="63"/>
        <v>1</v>
      </c>
      <c r="O635" t="str">
        <f>IF(AND(G635&lt;=F635,H635&lt;=G635,I635&lt;=H635,J635&lt;=I635),"OK","Check")</f>
        <v>OK</v>
      </c>
      <c r="P635" s="6">
        <f t="shared" si="64"/>
        <v>6.1242518782630846</v>
      </c>
      <c r="Q635" s="6">
        <f t="shared" si="65"/>
        <v>21.650422352176736</v>
      </c>
      <c r="R635" s="6">
        <f t="shared" si="66"/>
        <v>52.250900360144058</v>
      </c>
      <c r="S635" s="6">
        <f t="shared" si="67"/>
        <v>41.41298104537622</v>
      </c>
      <c r="T635" s="6">
        <f t="shared" si="68"/>
        <v>2052.2861776258173</v>
      </c>
      <c r="U635" s="6">
        <f t="shared" si="69"/>
        <v>21.522861776258175</v>
      </c>
    </row>
    <row r="636" spans="1:21" x14ac:dyDescent="0.3">
      <c r="A636" s="2">
        <v>45833</v>
      </c>
      <c r="B636" t="s">
        <v>14</v>
      </c>
      <c r="C636" t="s">
        <v>19</v>
      </c>
      <c r="D636" t="s">
        <v>24</v>
      </c>
      <c r="E636" t="s">
        <v>86</v>
      </c>
      <c r="F636">
        <v>58479</v>
      </c>
      <c r="G636">
        <v>3449</v>
      </c>
      <c r="H636">
        <v>525</v>
      </c>
      <c r="I636">
        <v>332</v>
      </c>
      <c r="J636">
        <v>138</v>
      </c>
      <c r="K636" s="4">
        <v>36555.379999999997</v>
      </c>
      <c r="L636" s="4">
        <v>944561.57</v>
      </c>
      <c r="M636" t="s">
        <v>31</v>
      </c>
      <c r="N636">
        <f t="shared" si="63"/>
        <v>1</v>
      </c>
      <c r="O636" t="str">
        <f>IF(AND(G636&lt;=F636,H636&lt;=G636,I636&lt;=H636,J636&lt;=I636),"OK","Check")</f>
        <v>OK</v>
      </c>
      <c r="P636" s="6">
        <f t="shared" si="64"/>
        <v>5.8978436703774006</v>
      </c>
      <c r="Q636" s="6">
        <f t="shared" si="65"/>
        <v>15.22180342128153</v>
      </c>
      <c r="R636" s="6">
        <f t="shared" si="66"/>
        <v>63.238095238095241</v>
      </c>
      <c r="S636" s="6">
        <f t="shared" si="67"/>
        <v>41.566265060240966</v>
      </c>
      <c r="T636" s="6">
        <f t="shared" si="68"/>
        <v>2483.919439491533</v>
      </c>
      <c r="U636" s="6">
        <f t="shared" si="69"/>
        <v>25.839194394915332</v>
      </c>
    </row>
    <row r="637" spans="1:21" x14ac:dyDescent="0.3">
      <c r="A637" s="2">
        <v>45834</v>
      </c>
      <c r="B637" t="s">
        <v>14</v>
      </c>
      <c r="C637" t="s">
        <v>19</v>
      </c>
      <c r="D637" t="s">
        <v>24</v>
      </c>
      <c r="E637" t="s">
        <v>86</v>
      </c>
      <c r="F637">
        <v>89905</v>
      </c>
      <c r="G637">
        <v>4837</v>
      </c>
      <c r="H637">
        <v>875</v>
      </c>
      <c r="I637">
        <v>550</v>
      </c>
      <c r="J637">
        <v>241</v>
      </c>
      <c r="K637" s="4">
        <v>51333.26</v>
      </c>
      <c r="L637" s="4">
        <v>1062504.3799999999</v>
      </c>
      <c r="M637" t="s">
        <v>31</v>
      </c>
      <c r="N637">
        <f t="shared" si="63"/>
        <v>1</v>
      </c>
      <c r="O637" t="str">
        <f>IF(AND(G637&lt;=F637,H637&lt;=G637,I637&lt;=H637,J637&lt;=I637),"OK","Check")</f>
        <v>OK</v>
      </c>
      <c r="P637" s="6">
        <f t="shared" si="64"/>
        <v>5.3801234636560817</v>
      </c>
      <c r="Q637" s="6">
        <f t="shared" si="65"/>
        <v>18.089725036179448</v>
      </c>
      <c r="R637" s="6">
        <f t="shared" si="66"/>
        <v>62.857142857142854</v>
      </c>
      <c r="S637" s="6">
        <f t="shared" si="67"/>
        <v>43.81818181818182</v>
      </c>
      <c r="T637" s="6">
        <f t="shared" si="68"/>
        <v>1969.816684153704</v>
      </c>
      <c r="U637" s="6">
        <f t="shared" si="69"/>
        <v>20.698166841537045</v>
      </c>
    </row>
    <row r="638" spans="1:21" x14ac:dyDescent="0.3">
      <c r="A638" s="2">
        <v>45835</v>
      </c>
      <c r="B638" t="s">
        <v>14</v>
      </c>
      <c r="C638" t="s">
        <v>19</v>
      </c>
      <c r="D638" t="s">
        <v>24</v>
      </c>
      <c r="E638" t="s">
        <v>86</v>
      </c>
      <c r="F638">
        <v>92090</v>
      </c>
      <c r="G638">
        <v>5092</v>
      </c>
      <c r="H638">
        <v>879</v>
      </c>
      <c r="I638">
        <v>474</v>
      </c>
      <c r="J638">
        <v>260</v>
      </c>
      <c r="K638" s="4">
        <v>84474.07</v>
      </c>
      <c r="L638" s="4">
        <v>1445950.1</v>
      </c>
      <c r="M638" t="s">
        <v>31</v>
      </c>
      <c r="N638">
        <f t="shared" si="63"/>
        <v>1</v>
      </c>
      <c r="O638" t="str">
        <f>IF(AND(G638&lt;=F638,H638&lt;=G638,I638&lt;=H638,J638&lt;=I638),"OK","Check")</f>
        <v>OK</v>
      </c>
      <c r="P638" s="6">
        <f t="shared" si="64"/>
        <v>5.5293734390270393</v>
      </c>
      <c r="Q638" s="6">
        <f t="shared" si="65"/>
        <v>17.262372348782403</v>
      </c>
      <c r="R638" s="6">
        <f t="shared" si="66"/>
        <v>53.924914675767923</v>
      </c>
      <c r="S638" s="6">
        <f t="shared" si="67"/>
        <v>54.852320675105481</v>
      </c>
      <c r="T638" s="6">
        <f t="shared" si="68"/>
        <v>1611.7088119466719</v>
      </c>
      <c r="U638" s="6">
        <f t="shared" si="69"/>
        <v>17.117088119466718</v>
      </c>
    </row>
    <row r="639" spans="1:21" x14ac:dyDescent="0.3">
      <c r="A639" s="2">
        <v>45836</v>
      </c>
      <c r="B639" t="s">
        <v>14</v>
      </c>
      <c r="C639" t="s">
        <v>19</v>
      </c>
      <c r="D639" t="s">
        <v>24</v>
      </c>
      <c r="E639" t="s">
        <v>86</v>
      </c>
      <c r="F639">
        <v>118966</v>
      </c>
      <c r="G639">
        <v>6945</v>
      </c>
      <c r="H639">
        <v>1680</v>
      </c>
      <c r="I639">
        <v>1063</v>
      </c>
      <c r="J639">
        <v>602</v>
      </c>
      <c r="K639" s="4">
        <v>86687.2</v>
      </c>
      <c r="L639" s="4">
        <v>1924916.2</v>
      </c>
      <c r="M639" t="s">
        <v>33</v>
      </c>
      <c r="N639">
        <f t="shared" si="63"/>
        <v>1</v>
      </c>
      <c r="O639" t="str">
        <f>IF(AND(G639&lt;=F639,H639&lt;=G639,I639&lt;=H639,J639&lt;=I639),"OK","Check")</f>
        <v>OK</v>
      </c>
      <c r="P639" s="6">
        <f t="shared" si="64"/>
        <v>5.8378023973236051</v>
      </c>
      <c r="Q639" s="6">
        <f t="shared" si="65"/>
        <v>24.190064794816415</v>
      </c>
      <c r="R639" s="6">
        <f t="shared" si="66"/>
        <v>63.273809523809518</v>
      </c>
      <c r="S639" s="6">
        <f t="shared" si="67"/>
        <v>56.632173095014117</v>
      </c>
      <c r="T639" s="6">
        <f t="shared" si="68"/>
        <v>2120.5310587953009</v>
      </c>
      <c r="U639" s="6">
        <f t="shared" si="69"/>
        <v>22.205310587953008</v>
      </c>
    </row>
    <row r="640" spans="1:21" x14ac:dyDescent="0.3">
      <c r="A640" s="2">
        <v>45837</v>
      </c>
      <c r="B640" t="s">
        <v>14</v>
      </c>
      <c r="C640" t="s">
        <v>19</v>
      </c>
      <c r="D640" t="s">
        <v>24</v>
      </c>
      <c r="E640" t="s">
        <v>86</v>
      </c>
      <c r="F640">
        <v>54787</v>
      </c>
      <c r="G640">
        <v>2701</v>
      </c>
      <c r="H640">
        <v>414</v>
      </c>
      <c r="I640">
        <v>256</v>
      </c>
      <c r="J640">
        <v>108</v>
      </c>
      <c r="K640" s="4">
        <v>23226.400000000001</v>
      </c>
      <c r="L640" s="4">
        <v>639599.69999999995</v>
      </c>
      <c r="M640" t="s">
        <v>31</v>
      </c>
      <c r="N640">
        <f t="shared" si="63"/>
        <v>1</v>
      </c>
      <c r="O640" t="str">
        <f>IF(AND(G640&lt;=F640,H640&lt;=G640,I640&lt;=H640,J640&lt;=I640),"OK","Check")</f>
        <v>OK</v>
      </c>
      <c r="P640" s="6">
        <f t="shared" si="64"/>
        <v>4.9300016427254647</v>
      </c>
      <c r="Q640" s="6">
        <f t="shared" si="65"/>
        <v>15.327656423546834</v>
      </c>
      <c r="R640" s="6">
        <f t="shared" si="66"/>
        <v>61.835748792270529</v>
      </c>
      <c r="S640" s="6">
        <f t="shared" si="67"/>
        <v>42.1875</v>
      </c>
      <c r="T640" s="6">
        <f t="shared" si="68"/>
        <v>2653.7616677573792</v>
      </c>
      <c r="U640" s="6">
        <f t="shared" si="69"/>
        <v>27.537616677573791</v>
      </c>
    </row>
    <row r="641" spans="1:21" x14ac:dyDescent="0.3">
      <c r="A641" s="2">
        <v>45838</v>
      </c>
      <c r="B641" t="s">
        <v>14</v>
      </c>
      <c r="C641" t="s">
        <v>19</v>
      </c>
      <c r="D641" t="s">
        <v>24</v>
      </c>
      <c r="E641" t="s">
        <v>86</v>
      </c>
      <c r="F641">
        <v>81314</v>
      </c>
      <c r="G641">
        <v>3799</v>
      </c>
      <c r="H641">
        <v>757</v>
      </c>
      <c r="I641">
        <v>427</v>
      </c>
      <c r="J641">
        <v>191</v>
      </c>
      <c r="K641" s="4">
        <v>47760.639999999999</v>
      </c>
      <c r="L641" s="4">
        <v>1085518.31</v>
      </c>
      <c r="M641" t="s">
        <v>35</v>
      </c>
      <c r="N641">
        <f t="shared" si="63"/>
        <v>1</v>
      </c>
      <c r="O641" t="str">
        <f>IF(AND(G641&lt;=F641,H641&lt;=G641,I641&lt;=H641,J641&lt;=I641),"OK","Check")</f>
        <v>OK</v>
      </c>
      <c r="P641" s="6">
        <f t="shared" si="64"/>
        <v>4.6720121996212214</v>
      </c>
      <c r="Q641" s="6">
        <f t="shared" si="65"/>
        <v>19.92629639378784</v>
      </c>
      <c r="R641" s="6">
        <f t="shared" si="66"/>
        <v>56.406869220607661</v>
      </c>
      <c r="S641" s="6">
        <f t="shared" si="67"/>
        <v>44.730679156908664</v>
      </c>
      <c r="T641" s="6">
        <f t="shared" si="68"/>
        <v>2172.8303263942862</v>
      </c>
      <c r="U641" s="6">
        <f t="shared" si="69"/>
        <v>22.728303263942863</v>
      </c>
    </row>
    <row r="642" spans="1:21" x14ac:dyDescent="0.3">
      <c r="A642" s="2">
        <v>45839</v>
      </c>
      <c r="B642" t="s">
        <v>14</v>
      </c>
      <c r="C642" t="s">
        <v>19</v>
      </c>
      <c r="D642" t="s">
        <v>24</v>
      </c>
      <c r="E642" t="s">
        <v>86</v>
      </c>
      <c r="F642">
        <v>92036</v>
      </c>
      <c r="G642">
        <v>5655</v>
      </c>
      <c r="H642">
        <v>1370</v>
      </c>
      <c r="I642">
        <v>718</v>
      </c>
      <c r="J642">
        <v>314</v>
      </c>
      <c r="K642" s="4">
        <v>63223.93</v>
      </c>
      <c r="L642" s="4">
        <v>1366952.36</v>
      </c>
      <c r="M642" t="s">
        <v>31</v>
      </c>
      <c r="N642">
        <f t="shared" si="63"/>
        <v>1</v>
      </c>
      <c r="O642" t="str">
        <f>IF(AND(G642&lt;=F642,H642&lt;=G642,I642&lt;=H642,J642&lt;=I642),"OK","Check")</f>
        <v>OK</v>
      </c>
      <c r="P642" s="6">
        <f t="shared" si="64"/>
        <v>6.1443348255030639</v>
      </c>
      <c r="Q642" s="6">
        <f t="shared" si="65"/>
        <v>24.226348364279399</v>
      </c>
      <c r="R642" s="6">
        <f t="shared" si="66"/>
        <v>52.408759124087588</v>
      </c>
      <c r="S642" s="6">
        <f t="shared" si="67"/>
        <v>43.732590529247908</v>
      </c>
      <c r="T642" s="6">
        <f t="shared" si="68"/>
        <v>2062.0806552202625</v>
      </c>
      <c r="U642" s="6">
        <f t="shared" si="69"/>
        <v>21.620806552202623</v>
      </c>
    </row>
    <row r="643" spans="1:21" x14ac:dyDescent="0.3">
      <c r="A643" s="2">
        <v>45840</v>
      </c>
      <c r="B643" t="s">
        <v>14</v>
      </c>
      <c r="C643" t="s">
        <v>19</v>
      </c>
      <c r="D643" t="s">
        <v>24</v>
      </c>
      <c r="E643" t="s">
        <v>86</v>
      </c>
      <c r="F643">
        <v>269403</v>
      </c>
      <c r="G643">
        <v>18663</v>
      </c>
      <c r="H643">
        <v>4144</v>
      </c>
      <c r="I643">
        <v>2502</v>
      </c>
      <c r="J643">
        <v>1360</v>
      </c>
      <c r="K643" s="4">
        <v>150891.95000000001</v>
      </c>
      <c r="L643" s="4">
        <v>8181786.3200000003</v>
      </c>
      <c r="M643" t="s">
        <v>32</v>
      </c>
      <c r="N643">
        <f t="shared" ref="N643:N706" si="70">COUNTIFS(A:A,A643,B:B,B643,C:C,C643,D:D,D643,E:E,E643,F:F,F643,G:G,G643,H:H,H643,I:I,I643,J:J,J643,K:K,K643,L:L,L643,M:M,M643)</f>
        <v>1</v>
      </c>
      <c r="O643" t="str">
        <f>IF(AND(G643&lt;=F643,H643&lt;=G643,I643&lt;=H643,J643&lt;=I643),"OK","Check")</f>
        <v>OK</v>
      </c>
      <c r="P643" s="6">
        <f t="shared" ref="P643:P706" si="71">IFERROR(G643/F643*100,0)</f>
        <v>6.9275397824077682</v>
      </c>
      <c r="Q643" s="6">
        <f t="shared" ref="Q643:Q706" si="72">IFERROR(H643/G643*100,0)</f>
        <v>22.204361571022879</v>
      </c>
      <c r="R643" s="6">
        <f t="shared" ref="R643:R706" si="73">IFERROR(I643/H643*100,0)</f>
        <v>60.376447876447884</v>
      </c>
      <c r="S643" s="6">
        <f t="shared" ref="S643:S706" si="74">IFERROR(J643/I643*100,0)</f>
        <v>54.356514788169463</v>
      </c>
      <c r="T643" s="6">
        <f t="shared" ref="T643:T706" si="75">IFERROR((L643-K643)/K643*100,0)</f>
        <v>5322.2815199883098</v>
      </c>
      <c r="U643" s="6">
        <f t="shared" ref="U643:U706" si="76">IFERROR(L643/K643,0)</f>
        <v>54.222815199883094</v>
      </c>
    </row>
    <row r="644" spans="1:21" x14ac:dyDescent="0.3">
      <c r="A644" s="2">
        <v>45841</v>
      </c>
      <c r="B644" t="s">
        <v>14</v>
      </c>
      <c r="C644" t="s">
        <v>19</v>
      </c>
      <c r="D644" t="s">
        <v>24</v>
      </c>
      <c r="E644" t="s">
        <v>86</v>
      </c>
      <c r="F644">
        <v>56759</v>
      </c>
      <c r="G644">
        <v>4315</v>
      </c>
      <c r="H644">
        <v>975</v>
      </c>
      <c r="I644">
        <v>572</v>
      </c>
      <c r="J644">
        <v>279</v>
      </c>
      <c r="K644" s="4">
        <v>47812.04</v>
      </c>
      <c r="L644" s="4">
        <v>1401844.34</v>
      </c>
      <c r="M644" t="s">
        <v>31</v>
      </c>
      <c r="N644">
        <f t="shared" si="70"/>
        <v>1</v>
      </c>
      <c r="O644" t="str">
        <f>IF(AND(G644&lt;=F644,H644&lt;=G644,I644&lt;=H644,J644&lt;=I644),"OK","Check")</f>
        <v>OK</v>
      </c>
      <c r="P644" s="6">
        <f t="shared" si="71"/>
        <v>7.6023185750277484</v>
      </c>
      <c r="Q644" s="6">
        <f t="shared" si="72"/>
        <v>22.595596755504054</v>
      </c>
      <c r="R644" s="6">
        <f t="shared" si="73"/>
        <v>58.666666666666664</v>
      </c>
      <c r="S644" s="6">
        <f t="shared" si="74"/>
        <v>48.776223776223773</v>
      </c>
      <c r="T644" s="6">
        <f t="shared" si="75"/>
        <v>2831.9902267295015</v>
      </c>
      <c r="U644" s="6">
        <f t="shared" si="76"/>
        <v>29.319902267295017</v>
      </c>
    </row>
    <row r="645" spans="1:21" x14ac:dyDescent="0.3">
      <c r="A645" s="2">
        <v>45842</v>
      </c>
      <c r="B645" t="s">
        <v>14</v>
      </c>
      <c r="C645" t="s">
        <v>19</v>
      </c>
      <c r="D645" t="s">
        <v>24</v>
      </c>
      <c r="E645" t="s">
        <v>86</v>
      </c>
      <c r="F645">
        <v>294725</v>
      </c>
      <c r="G645">
        <v>14169</v>
      </c>
      <c r="H645">
        <v>3083</v>
      </c>
      <c r="I645">
        <v>1956</v>
      </c>
      <c r="J645">
        <v>783</v>
      </c>
      <c r="K645" s="4">
        <v>267573.94</v>
      </c>
      <c r="L645" s="4">
        <v>2450851.61</v>
      </c>
      <c r="M645" t="s">
        <v>35</v>
      </c>
      <c r="N645">
        <f t="shared" si="70"/>
        <v>1</v>
      </c>
      <c r="O645" t="str">
        <f>IF(AND(G645&lt;=F645,H645&lt;=G645,I645&lt;=H645,J645&lt;=I645),"OK","Check")</f>
        <v>OK</v>
      </c>
      <c r="P645" s="6">
        <f t="shared" si="71"/>
        <v>4.8075324455000423</v>
      </c>
      <c r="Q645" s="6">
        <f t="shared" si="72"/>
        <v>21.75876914390571</v>
      </c>
      <c r="R645" s="6">
        <f t="shared" si="73"/>
        <v>63.444696723970161</v>
      </c>
      <c r="S645" s="6">
        <f t="shared" si="74"/>
        <v>40.030674846625772</v>
      </c>
      <c r="T645" s="6">
        <f t="shared" si="75"/>
        <v>815.95302965602696</v>
      </c>
      <c r="U645" s="6">
        <f t="shared" si="76"/>
        <v>9.1595302965602698</v>
      </c>
    </row>
    <row r="646" spans="1:21" x14ac:dyDescent="0.3">
      <c r="A646" s="2">
        <v>45843</v>
      </c>
      <c r="B646" t="s">
        <v>14</v>
      </c>
      <c r="C646" t="s">
        <v>19</v>
      </c>
      <c r="D646" t="s">
        <v>24</v>
      </c>
      <c r="E646" t="s">
        <v>86</v>
      </c>
      <c r="F646">
        <v>284349</v>
      </c>
      <c r="G646">
        <v>9408</v>
      </c>
      <c r="H646">
        <v>1926</v>
      </c>
      <c r="I646">
        <v>1228</v>
      </c>
      <c r="J646">
        <v>734</v>
      </c>
      <c r="K646" s="4">
        <v>145135.47</v>
      </c>
      <c r="L646" s="4">
        <v>3166144.83</v>
      </c>
      <c r="M646" t="s">
        <v>31</v>
      </c>
      <c r="N646">
        <f t="shared" si="70"/>
        <v>1</v>
      </c>
      <c r="O646" t="str">
        <f>IF(AND(G646&lt;=F646,H646&lt;=G646,I646&lt;=H646,J646&lt;=I646),"OK","Check")</f>
        <v>OK</v>
      </c>
      <c r="P646" s="6">
        <f t="shared" si="71"/>
        <v>3.3086101938111261</v>
      </c>
      <c r="Q646" s="6">
        <f t="shared" si="72"/>
        <v>20.471938775510203</v>
      </c>
      <c r="R646" s="6">
        <f t="shared" si="73"/>
        <v>63.759086188992733</v>
      </c>
      <c r="S646" s="6">
        <f t="shared" si="74"/>
        <v>59.77198697068404</v>
      </c>
      <c r="T646" s="6">
        <f t="shared" si="75"/>
        <v>2081.5100264601065</v>
      </c>
      <c r="U646" s="6">
        <f t="shared" si="76"/>
        <v>21.815100264601067</v>
      </c>
    </row>
    <row r="647" spans="1:21" x14ac:dyDescent="0.3">
      <c r="A647" s="2">
        <v>45844</v>
      </c>
      <c r="B647" t="s">
        <v>14</v>
      </c>
      <c r="C647" t="s">
        <v>19</v>
      </c>
      <c r="D647" t="s">
        <v>24</v>
      </c>
      <c r="E647" t="s">
        <v>86</v>
      </c>
      <c r="F647">
        <v>215773</v>
      </c>
      <c r="G647">
        <v>11011</v>
      </c>
      <c r="H647">
        <v>2592</v>
      </c>
      <c r="I647">
        <v>1638</v>
      </c>
      <c r="J647">
        <v>787</v>
      </c>
      <c r="K647" s="4">
        <v>114990.31</v>
      </c>
      <c r="L647" s="4">
        <v>3955862.49</v>
      </c>
      <c r="M647" t="s">
        <v>35</v>
      </c>
      <c r="N647">
        <f t="shared" si="70"/>
        <v>1</v>
      </c>
      <c r="O647" t="str">
        <f>IF(AND(G647&lt;=F647,H647&lt;=G647,I647&lt;=H647,J647&lt;=I647),"OK","Check")</f>
        <v>OK</v>
      </c>
      <c r="P647" s="6">
        <f t="shared" si="71"/>
        <v>5.1030481107460153</v>
      </c>
      <c r="Q647" s="6">
        <f t="shared" si="72"/>
        <v>23.540096267368995</v>
      </c>
      <c r="R647" s="6">
        <f t="shared" si="73"/>
        <v>63.194444444444443</v>
      </c>
      <c r="S647" s="6">
        <f t="shared" si="74"/>
        <v>48.046398046398046</v>
      </c>
      <c r="T647" s="6">
        <f t="shared" si="75"/>
        <v>3340.1702978277044</v>
      </c>
      <c r="U647" s="6">
        <f t="shared" si="76"/>
        <v>34.401702978277044</v>
      </c>
    </row>
    <row r="648" spans="1:21" x14ac:dyDescent="0.3">
      <c r="A648" s="2">
        <v>45845</v>
      </c>
      <c r="B648" t="s">
        <v>14</v>
      </c>
      <c r="C648" t="s">
        <v>19</v>
      </c>
      <c r="D648" t="s">
        <v>24</v>
      </c>
      <c r="E648" t="s">
        <v>86</v>
      </c>
      <c r="F648">
        <v>265814</v>
      </c>
      <c r="G648">
        <v>18135</v>
      </c>
      <c r="H648">
        <v>3413</v>
      </c>
      <c r="I648">
        <v>1802</v>
      </c>
      <c r="J648">
        <v>979</v>
      </c>
      <c r="K648" s="4">
        <v>178983.87</v>
      </c>
      <c r="L648" s="4">
        <v>4945617.34</v>
      </c>
      <c r="M648" t="s">
        <v>31</v>
      </c>
      <c r="N648">
        <f t="shared" si="70"/>
        <v>1</v>
      </c>
      <c r="O648" t="str">
        <f>IF(AND(G648&lt;=F648,H648&lt;=G648,I648&lt;=H648,J648&lt;=I648),"OK","Check")</f>
        <v>OK</v>
      </c>
      <c r="P648" s="6">
        <f t="shared" si="71"/>
        <v>6.822439751104155</v>
      </c>
      <c r="Q648" s="6">
        <f t="shared" si="72"/>
        <v>18.819961400606562</v>
      </c>
      <c r="R648" s="6">
        <f t="shared" si="73"/>
        <v>52.798124816876644</v>
      </c>
      <c r="S648" s="6">
        <f t="shared" si="74"/>
        <v>54.328523862375135</v>
      </c>
      <c r="T648" s="6">
        <f t="shared" si="75"/>
        <v>2663.1637085509437</v>
      </c>
      <c r="U648" s="6">
        <f t="shared" si="76"/>
        <v>27.631637085509436</v>
      </c>
    </row>
    <row r="649" spans="1:21" x14ac:dyDescent="0.3">
      <c r="A649" s="2">
        <v>45846</v>
      </c>
      <c r="B649" t="s">
        <v>14</v>
      </c>
      <c r="C649" t="s">
        <v>19</v>
      </c>
      <c r="D649" t="s">
        <v>24</v>
      </c>
      <c r="E649" t="s">
        <v>86</v>
      </c>
      <c r="F649">
        <v>254425</v>
      </c>
      <c r="G649">
        <v>11942</v>
      </c>
      <c r="H649">
        <v>2510</v>
      </c>
      <c r="I649">
        <v>1384</v>
      </c>
      <c r="J649">
        <v>700</v>
      </c>
      <c r="K649" s="4">
        <v>163582.32</v>
      </c>
      <c r="L649" s="4">
        <v>5486851.2400000002</v>
      </c>
      <c r="M649" t="s">
        <v>33</v>
      </c>
      <c r="N649">
        <f t="shared" si="70"/>
        <v>1</v>
      </c>
      <c r="O649" t="str">
        <f>IF(AND(G649&lt;=F649,H649&lt;=G649,I649&lt;=H649,J649&lt;=I649),"OK","Check")</f>
        <v>OK</v>
      </c>
      <c r="P649" s="6">
        <f t="shared" si="71"/>
        <v>4.6937211358946644</v>
      </c>
      <c r="Q649" s="6">
        <f t="shared" si="72"/>
        <v>21.01825489867694</v>
      </c>
      <c r="R649" s="6">
        <f t="shared" si="73"/>
        <v>55.139442231075698</v>
      </c>
      <c r="S649" s="6">
        <f t="shared" si="74"/>
        <v>50.578034682080933</v>
      </c>
      <c r="T649" s="6">
        <f t="shared" si="75"/>
        <v>3254.183532792541</v>
      </c>
      <c r="U649" s="6">
        <f t="shared" si="76"/>
        <v>33.541835327925412</v>
      </c>
    </row>
    <row r="650" spans="1:21" x14ac:dyDescent="0.3">
      <c r="A650" s="2">
        <v>45847</v>
      </c>
      <c r="B650" t="s">
        <v>14</v>
      </c>
      <c r="C650" t="s">
        <v>19</v>
      </c>
      <c r="D650" t="s">
        <v>24</v>
      </c>
      <c r="E650" t="s">
        <v>86</v>
      </c>
      <c r="F650">
        <v>259369</v>
      </c>
      <c r="G650">
        <v>9336</v>
      </c>
      <c r="H650">
        <v>2252</v>
      </c>
      <c r="I650">
        <v>1107</v>
      </c>
      <c r="J650">
        <v>588</v>
      </c>
      <c r="K650" s="4">
        <v>154589.95000000001</v>
      </c>
      <c r="L650" s="4">
        <v>3499060.17</v>
      </c>
      <c r="M650" t="s">
        <v>32</v>
      </c>
      <c r="N650">
        <f t="shared" si="70"/>
        <v>1</v>
      </c>
      <c r="O650" t="str">
        <f>IF(AND(G650&lt;=F650,H650&lt;=G650,I650&lt;=H650,J650&lt;=I650),"OK","Check")</f>
        <v>OK</v>
      </c>
      <c r="P650" s="6">
        <f t="shared" si="71"/>
        <v>3.5995049524037181</v>
      </c>
      <c r="Q650" s="6">
        <f t="shared" si="72"/>
        <v>24.121679520137103</v>
      </c>
      <c r="R650" s="6">
        <f t="shared" si="73"/>
        <v>49.156305506216697</v>
      </c>
      <c r="S650" s="6">
        <f t="shared" si="74"/>
        <v>53.116531165311656</v>
      </c>
      <c r="T650" s="6">
        <f t="shared" si="75"/>
        <v>2163.4460843023749</v>
      </c>
      <c r="U650" s="6">
        <f t="shared" si="76"/>
        <v>22.634460843023753</v>
      </c>
    </row>
    <row r="651" spans="1:21" x14ac:dyDescent="0.3">
      <c r="A651" s="2">
        <v>45848</v>
      </c>
      <c r="B651" t="s">
        <v>14</v>
      </c>
      <c r="C651" t="s">
        <v>19</v>
      </c>
      <c r="D651" t="s">
        <v>24</v>
      </c>
      <c r="E651" t="s">
        <v>86</v>
      </c>
      <c r="F651">
        <v>221044</v>
      </c>
      <c r="G651">
        <v>13069</v>
      </c>
      <c r="H651">
        <v>2745</v>
      </c>
      <c r="I651">
        <v>1298</v>
      </c>
      <c r="J651">
        <v>558</v>
      </c>
      <c r="K651" s="4">
        <v>160690.04999999999</v>
      </c>
      <c r="L651" s="4">
        <v>3236187.64</v>
      </c>
      <c r="M651" t="s">
        <v>33</v>
      </c>
      <c r="N651">
        <f t="shared" si="70"/>
        <v>1</v>
      </c>
      <c r="O651" t="str">
        <f>IF(AND(G651&lt;=F651,H651&lt;=G651,I651&lt;=H651,J651&lt;=I651),"OK","Check")</f>
        <v>OK</v>
      </c>
      <c r="P651" s="6">
        <f t="shared" si="71"/>
        <v>5.9123975317131432</v>
      </c>
      <c r="Q651" s="6">
        <f t="shared" si="72"/>
        <v>21.003902364373708</v>
      </c>
      <c r="R651" s="6">
        <f t="shared" si="73"/>
        <v>47.285974499089249</v>
      </c>
      <c r="S651" s="6">
        <f t="shared" si="74"/>
        <v>42.989214175654858</v>
      </c>
      <c r="T651" s="6">
        <f t="shared" si="75"/>
        <v>1913.9315657690072</v>
      </c>
      <c r="U651" s="6">
        <f t="shared" si="76"/>
        <v>20.139315657690069</v>
      </c>
    </row>
    <row r="652" spans="1:21" x14ac:dyDescent="0.3">
      <c r="A652" s="2">
        <v>45849</v>
      </c>
      <c r="B652" t="s">
        <v>14</v>
      </c>
      <c r="C652" t="s">
        <v>19</v>
      </c>
      <c r="D652" t="s">
        <v>24</v>
      </c>
      <c r="E652" t="s">
        <v>86</v>
      </c>
      <c r="F652">
        <v>94706</v>
      </c>
      <c r="G652">
        <v>5747</v>
      </c>
      <c r="H652">
        <v>890</v>
      </c>
      <c r="I652">
        <v>494</v>
      </c>
      <c r="J652">
        <v>278</v>
      </c>
      <c r="K652" s="4">
        <v>65416.27</v>
      </c>
      <c r="L652" s="4">
        <v>2144560.42</v>
      </c>
      <c r="M652" t="s">
        <v>31</v>
      </c>
      <c r="N652">
        <f t="shared" si="70"/>
        <v>1</v>
      </c>
      <c r="O652" t="str">
        <f>IF(AND(G652&lt;=F652,H652&lt;=G652,I652&lt;=H652,J652&lt;=I652),"OK","Check")</f>
        <v>OK</v>
      </c>
      <c r="P652" s="6">
        <f t="shared" si="71"/>
        <v>6.068253331362321</v>
      </c>
      <c r="Q652" s="6">
        <f t="shared" si="72"/>
        <v>15.486340699495388</v>
      </c>
      <c r="R652" s="6">
        <f t="shared" si="73"/>
        <v>55.50561797752809</v>
      </c>
      <c r="S652" s="6">
        <f t="shared" si="74"/>
        <v>56.275303643724698</v>
      </c>
      <c r="T652" s="6">
        <f t="shared" si="75"/>
        <v>3178.3288010765518</v>
      </c>
      <c r="U652" s="6">
        <f t="shared" si="76"/>
        <v>32.783288010765517</v>
      </c>
    </row>
    <row r="653" spans="1:21" x14ac:dyDescent="0.3">
      <c r="A653" s="2">
        <v>45850</v>
      </c>
      <c r="B653" t="s">
        <v>14</v>
      </c>
      <c r="C653" t="s">
        <v>19</v>
      </c>
      <c r="D653" t="s">
        <v>24</v>
      </c>
      <c r="E653" t="s">
        <v>86</v>
      </c>
      <c r="F653">
        <v>176503</v>
      </c>
      <c r="G653">
        <v>10957</v>
      </c>
      <c r="H653">
        <v>1846</v>
      </c>
      <c r="I653">
        <v>985</v>
      </c>
      <c r="J653">
        <v>397</v>
      </c>
      <c r="K653" s="4">
        <v>145083.42000000001</v>
      </c>
      <c r="L653" s="4">
        <v>1468396.6</v>
      </c>
      <c r="M653" t="s">
        <v>35</v>
      </c>
      <c r="N653">
        <f t="shared" si="70"/>
        <v>1</v>
      </c>
      <c r="O653" t="str">
        <f>IF(AND(G653&lt;=F653,H653&lt;=G653,I653&lt;=H653,J653&lt;=I653),"OK","Check")</f>
        <v>OK</v>
      </c>
      <c r="P653" s="6">
        <f t="shared" si="71"/>
        <v>6.207826495866926</v>
      </c>
      <c r="Q653" s="6">
        <f t="shared" si="72"/>
        <v>16.847677283928082</v>
      </c>
      <c r="R653" s="6">
        <f t="shared" si="73"/>
        <v>53.358613217768145</v>
      </c>
      <c r="S653" s="6">
        <f t="shared" si="74"/>
        <v>40.304568527918782</v>
      </c>
      <c r="T653" s="6">
        <f t="shared" si="75"/>
        <v>912.10503584765229</v>
      </c>
      <c r="U653" s="6">
        <f t="shared" si="76"/>
        <v>10.121050358476523</v>
      </c>
    </row>
    <row r="654" spans="1:21" x14ac:dyDescent="0.3">
      <c r="A654" s="2">
        <v>45851</v>
      </c>
      <c r="B654" t="s">
        <v>14</v>
      </c>
      <c r="C654" t="s">
        <v>19</v>
      </c>
      <c r="D654" t="s">
        <v>24</v>
      </c>
      <c r="E654" t="s">
        <v>86</v>
      </c>
      <c r="F654">
        <v>237358</v>
      </c>
      <c r="G654">
        <v>14516</v>
      </c>
      <c r="H654">
        <v>2484</v>
      </c>
      <c r="I654">
        <v>1272</v>
      </c>
      <c r="J654">
        <v>548</v>
      </c>
      <c r="K654" s="4">
        <v>133175.25</v>
      </c>
      <c r="L654" s="4">
        <v>4227791.0199999996</v>
      </c>
      <c r="M654" t="s">
        <v>32</v>
      </c>
      <c r="N654">
        <f t="shared" si="70"/>
        <v>1</v>
      </c>
      <c r="O654" t="str">
        <f>IF(AND(G654&lt;=F654,H654&lt;=G654,I654&lt;=H654,J654&lt;=I654),"OK","Check")</f>
        <v>OK</v>
      </c>
      <c r="P654" s="6">
        <f t="shared" si="71"/>
        <v>6.1156565188449514</v>
      </c>
      <c r="Q654" s="6">
        <f t="shared" si="72"/>
        <v>17.112152108018737</v>
      </c>
      <c r="R654" s="6">
        <f t="shared" si="73"/>
        <v>51.207729468599041</v>
      </c>
      <c r="S654" s="6">
        <f t="shared" si="74"/>
        <v>43.081761006289312</v>
      </c>
      <c r="T654" s="6">
        <f t="shared" si="75"/>
        <v>3074.6071586124294</v>
      </c>
      <c r="U654" s="6">
        <f t="shared" si="76"/>
        <v>31.746071586124295</v>
      </c>
    </row>
    <row r="655" spans="1:21" x14ac:dyDescent="0.3">
      <c r="A655" s="2">
        <v>45852</v>
      </c>
      <c r="B655" t="s">
        <v>14</v>
      </c>
      <c r="C655" t="s">
        <v>19</v>
      </c>
      <c r="D655" t="s">
        <v>24</v>
      </c>
      <c r="E655" t="s">
        <v>86</v>
      </c>
      <c r="F655">
        <v>50848</v>
      </c>
      <c r="G655">
        <v>3877</v>
      </c>
      <c r="H655">
        <v>825</v>
      </c>
      <c r="I655">
        <v>405</v>
      </c>
      <c r="J655">
        <v>190</v>
      </c>
      <c r="K655" s="4">
        <v>43221.5</v>
      </c>
      <c r="L655" s="4">
        <v>1323600.99</v>
      </c>
      <c r="M655" t="s">
        <v>34</v>
      </c>
      <c r="N655">
        <f t="shared" si="70"/>
        <v>1</v>
      </c>
      <c r="O655" t="str">
        <f>IF(AND(G655&lt;=F655,H655&lt;=G655,I655&lt;=H655,J655&lt;=I655),"OK","Check")</f>
        <v>OK</v>
      </c>
      <c r="P655" s="6">
        <f t="shared" si="71"/>
        <v>7.6246853366897422</v>
      </c>
      <c r="Q655" s="6">
        <f t="shared" si="72"/>
        <v>21.27933969564096</v>
      </c>
      <c r="R655" s="6">
        <f t="shared" si="73"/>
        <v>49.090909090909093</v>
      </c>
      <c r="S655" s="6">
        <f t="shared" si="74"/>
        <v>46.913580246913575</v>
      </c>
      <c r="T655" s="6">
        <f t="shared" si="75"/>
        <v>2962.3670858253417</v>
      </c>
      <c r="U655" s="6">
        <f t="shared" si="76"/>
        <v>30.623670858253416</v>
      </c>
    </row>
    <row r="656" spans="1:21" x14ac:dyDescent="0.3">
      <c r="A656" s="2">
        <v>45853</v>
      </c>
      <c r="B656" t="s">
        <v>14</v>
      </c>
      <c r="C656" t="s">
        <v>19</v>
      </c>
      <c r="D656" t="s">
        <v>24</v>
      </c>
      <c r="E656" t="s">
        <v>86</v>
      </c>
      <c r="F656">
        <v>96272</v>
      </c>
      <c r="G656">
        <v>7109</v>
      </c>
      <c r="H656">
        <v>1160</v>
      </c>
      <c r="I656">
        <v>673</v>
      </c>
      <c r="J656">
        <v>373</v>
      </c>
      <c r="K656" s="4">
        <v>61170.400000000001</v>
      </c>
      <c r="L656" s="4">
        <v>1645196.91</v>
      </c>
      <c r="M656" t="s">
        <v>31</v>
      </c>
      <c r="N656">
        <f t="shared" si="70"/>
        <v>1</v>
      </c>
      <c r="O656" t="str">
        <f>IF(AND(G656&lt;=F656,H656&lt;=G656,I656&lt;=H656,J656&lt;=I656),"OK","Check")</f>
        <v>OK</v>
      </c>
      <c r="P656" s="6">
        <f t="shared" si="71"/>
        <v>7.3842861891307967</v>
      </c>
      <c r="Q656" s="6">
        <f t="shared" si="72"/>
        <v>16.317344211562805</v>
      </c>
      <c r="R656" s="6">
        <f t="shared" si="73"/>
        <v>58.017241379310349</v>
      </c>
      <c r="S656" s="6">
        <f t="shared" si="74"/>
        <v>55.423476968796436</v>
      </c>
      <c r="T656" s="6">
        <f t="shared" si="75"/>
        <v>2589.5310640440475</v>
      </c>
      <c r="U656" s="6">
        <f t="shared" si="76"/>
        <v>26.895310640440471</v>
      </c>
    </row>
    <row r="657" spans="1:21" x14ac:dyDescent="0.3">
      <c r="A657" s="2">
        <v>45854</v>
      </c>
      <c r="B657" t="s">
        <v>14</v>
      </c>
      <c r="C657" t="s">
        <v>19</v>
      </c>
      <c r="D657" t="s">
        <v>24</v>
      </c>
      <c r="E657" t="s">
        <v>86</v>
      </c>
      <c r="F657">
        <v>163136</v>
      </c>
      <c r="G657">
        <v>7760</v>
      </c>
      <c r="H657">
        <v>1293</v>
      </c>
      <c r="I657">
        <v>616</v>
      </c>
      <c r="J657">
        <v>309</v>
      </c>
      <c r="K657" s="4">
        <v>81536.179999999993</v>
      </c>
      <c r="L657" s="4">
        <v>1996807.57</v>
      </c>
      <c r="M657" t="s">
        <v>32</v>
      </c>
      <c r="N657">
        <f t="shared" si="70"/>
        <v>1</v>
      </c>
      <c r="O657" t="str">
        <f>IF(AND(G657&lt;=F657,H657&lt;=G657,I657&lt;=H657,J657&lt;=I657),"OK","Check")</f>
        <v>OK</v>
      </c>
      <c r="P657" s="6">
        <f t="shared" si="71"/>
        <v>4.7567673597489213</v>
      </c>
      <c r="Q657" s="6">
        <f t="shared" si="72"/>
        <v>16.662371134020617</v>
      </c>
      <c r="R657" s="6">
        <f t="shared" si="73"/>
        <v>47.641144624903326</v>
      </c>
      <c r="S657" s="6">
        <f t="shared" si="74"/>
        <v>50.162337662337663</v>
      </c>
      <c r="T657" s="6">
        <f t="shared" si="75"/>
        <v>2348.9834696695384</v>
      </c>
      <c r="U657" s="6">
        <f t="shared" si="76"/>
        <v>24.489834696695382</v>
      </c>
    </row>
    <row r="658" spans="1:21" x14ac:dyDescent="0.3">
      <c r="A658" s="2">
        <v>45855</v>
      </c>
      <c r="B658" t="s">
        <v>14</v>
      </c>
      <c r="C658" t="s">
        <v>19</v>
      </c>
      <c r="D658" t="s">
        <v>24</v>
      </c>
      <c r="E658" t="s">
        <v>86</v>
      </c>
      <c r="F658">
        <v>224881</v>
      </c>
      <c r="G658">
        <v>13220</v>
      </c>
      <c r="H658">
        <v>2919</v>
      </c>
      <c r="I658">
        <v>1678</v>
      </c>
      <c r="J658">
        <v>726</v>
      </c>
      <c r="K658" s="4">
        <v>209811.4</v>
      </c>
      <c r="L658" s="4">
        <v>4054985.75</v>
      </c>
      <c r="M658" t="s">
        <v>32</v>
      </c>
      <c r="N658">
        <f t="shared" si="70"/>
        <v>1</v>
      </c>
      <c r="O658" t="str">
        <f>IF(AND(G658&lt;=F658,H658&lt;=G658,I658&lt;=H658,J658&lt;=I658),"OK","Check")</f>
        <v>OK</v>
      </c>
      <c r="P658" s="6">
        <f t="shared" si="71"/>
        <v>5.8786647160053533</v>
      </c>
      <c r="Q658" s="6">
        <f t="shared" si="72"/>
        <v>22.080181543116488</v>
      </c>
      <c r="R658" s="6">
        <f t="shared" si="73"/>
        <v>57.485440219253171</v>
      </c>
      <c r="S658" s="6">
        <f t="shared" si="74"/>
        <v>43.265792610250301</v>
      </c>
      <c r="T658" s="6">
        <f t="shared" si="75"/>
        <v>1832.6813271347507</v>
      </c>
      <c r="U658" s="6">
        <f t="shared" si="76"/>
        <v>19.326813271347508</v>
      </c>
    </row>
    <row r="659" spans="1:21" x14ac:dyDescent="0.3">
      <c r="A659" s="2">
        <v>45856</v>
      </c>
      <c r="B659" t="s">
        <v>14</v>
      </c>
      <c r="C659" t="s">
        <v>19</v>
      </c>
      <c r="D659" t="s">
        <v>24</v>
      </c>
      <c r="E659" t="s">
        <v>86</v>
      </c>
      <c r="F659">
        <v>107896</v>
      </c>
      <c r="G659">
        <v>6609</v>
      </c>
      <c r="H659">
        <v>1436</v>
      </c>
      <c r="I659">
        <v>892</v>
      </c>
      <c r="J659">
        <v>459</v>
      </c>
      <c r="K659" s="4">
        <v>104215.29</v>
      </c>
      <c r="L659" s="4">
        <v>2367563.2200000002</v>
      </c>
      <c r="M659" t="s">
        <v>35</v>
      </c>
      <c r="N659">
        <f t="shared" si="70"/>
        <v>1</v>
      </c>
      <c r="O659" t="str">
        <f>IF(AND(G659&lt;=F659,H659&lt;=G659,I659&lt;=H659,J659&lt;=I659),"OK","Check")</f>
        <v>OK</v>
      </c>
      <c r="P659" s="6">
        <f t="shared" si="71"/>
        <v>6.1253429228145615</v>
      </c>
      <c r="Q659" s="6">
        <f t="shared" si="72"/>
        <v>21.7279467392949</v>
      </c>
      <c r="R659" s="6">
        <f t="shared" si="73"/>
        <v>62.116991643454035</v>
      </c>
      <c r="S659" s="6">
        <f t="shared" si="74"/>
        <v>51.457399103139011</v>
      </c>
      <c r="T659" s="6">
        <f t="shared" si="75"/>
        <v>2171.8002511915483</v>
      </c>
      <c r="U659" s="6">
        <f t="shared" si="76"/>
        <v>22.718002511915483</v>
      </c>
    </row>
    <row r="660" spans="1:21" x14ac:dyDescent="0.3">
      <c r="A660" s="2">
        <v>45857</v>
      </c>
      <c r="B660" t="s">
        <v>14</v>
      </c>
      <c r="C660" t="s">
        <v>19</v>
      </c>
      <c r="D660" t="s">
        <v>24</v>
      </c>
      <c r="E660" t="s">
        <v>86</v>
      </c>
      <c r="F660">
        <v>100529</v>
      </c>
      <c r="G660">
        <v>3042</v>
      </c>
      <c r="H660">
        <v>580</v>
      </c>
      <c r="I660">
        <v>326</v>
      </c>
      <c r="J660">
        <v>173</v>
      </c>
      <c r="K660" s="4">
        <v>52428</v>
      </c>
      <c r="L660" s="4">
        <v>1269806.24</v>
      </c>
      <c r="M660" t="s">
        <v>35</v>
      </c>
      <c r="N660">
        <f t="shared" si="70"/>
        <v>1</v>
      </c>
      <c r="O660" t="str">
        <f>IF(AND(G660&lt;=F660,H660&lt;=G660,I660&lt;=H660,J660&lt;=I660),"OK","Check")</f>
        <v>OK</v>
      </c>
      <c r="P660" s="6">
        <f t="shared" si="71"/>
        <v>3.0259924996767102</v>
      </c>
      <c r="Q660" s="6">
        <f t="shared" si="72"/>
        <v>19.066403681788298</v>
      </c>
      <c r="R660" s="6">
        <f t="shared" si="73"/>
        <v>56.206896551724142</v>
      </c>
      <c r="S660" s="6">
        <f t="shared" si="74"/>
        <v>53.067484662576689</v>
      </c>
      <c r="T660" s="6">
        <f t="shared" si="75"/>
        <v>2322.0001525902189</v>
      </c>
      <c r="U660" s="6">
        <f t="shared" si="76"/>
        <v>24.220001525902191</v>
      </c>
    </row>
    <row r="661" spans="1:21" x14ac:dyDescent="0.3">
      <c r="A661" s="2">
        <v>45858</v>
      </c>
      <c r="B661" t="s">
        <v>14</v>
      </c>
      <c r="C661" t="s">
        <v>19</v>
      </c>
      <c r="D661" t="s">
        <v>24</v>
      </c>
      <c r="E661" t="s">
        <v>86</v>
      </c>
      <c r="F661">
        <v>59847</v>
      </c>
      <c r="G661">
        <v>4601</v>
      </c>
      <c r="H661">
        <v>734</v>
      </c>
      <c r="I661">
        <v>338</v>
      </c>
      <c r="J661">
        <v>157</v>
      </c>
      <c r="K661" s="4">
        <v>24579.52</v>
      </c>
      <c r="L661" s="4">
        <v>524652.68999999994</v>
      </c>
      <c r="M661" t="s">
        <v>33</v>
      </c>
      <c r="N661">
        <f t="shared" si="70"/>
        <v>1</v>
      </c>
      <c r="O661" t="str">
        <f>IF(AND(G661&lt;=F661,H661&lt;=G661,I661&lt;=H661,J661&lt;=I661),"OK","Check")</f>
        <v>OK</v>
      </c>
      <c r="P661" s="6">
        <f t="shared" si="71"/>
        <v>7.6879375741474094</v>
      </c>
      <c r="Q661" s="6">
        <f t="shared" si="72"/>
        <v>15.953053683981743</v>
      </c>
      <c r="R661" s="6">
        <f t="shared" si="73"/>
        <v>46.049046321525886</v>
      </c>
      <c r="S661" s="6">
        <f t="shared" si="74"/>
        <v>46.449704142011832</v>
      </c>
      <c r="T661" s="6">
        <f t="shared" si="75"/>
        <v>2034.5115364335832</v>
      </c>
      <c r="U661" s="6">
        <f t="shared" si="76"/>
        <v>21.345115364335836</v>
      </c>
    </row>
    <row r="662" spans="1:21" x14ac:dyDescent="0.3">
      <c r="A662" s="2">
        <v>45859</v>
      </c>
      <c r="B662" t="s">
        <v>14</v>
      </c>
      <c r="C662" t="s">
        <v>19</v>
      </c>
      <c r="D662" t="s">
        <v>24</v>
      </c>
      <c r="E662" t="s">
        <v>86</v>
      </c>
      <c r="F662">
        <v>183044</v>
      </c>
      <c r="G662">
        <v>9780</v>
      </c>
      <c r="H662">
        <v>2113</v>
      </c>
      <c r="I662">
        <v>1094</v>
      </c>
      <c r="J662">
        <v>518</v>
      </c>
      <c r="K662" s="4">
        <v>149648.03</v>
      </c>
      <c r="L662" s="4">
        <v>2135225.13</v>
      </c>
      <c r="M662" t="s">
        <v>35</v>
      </c>
      <c r="N662">
        <f t="shared" si="70"/>
        <v>1</v>
      </c>
      <c r="O662" t="str">
        <f>IF(AND(G662&lt;=F662,H662&lt;=G662,I662&lt;=H662,J662&lt;=I662),"OK","Check")</f>
        <v>OK</v>
      </c>
      <c r="P662" s="6">
        <f t="shared" si="71"/>
        <v>5.3429776447193023</v>
      </c>
      <c r="Q662" s="6">
        <f t="shared" si="72"/>
        <v>21.605316973415135</v>
      </c>
      <c r="R662" s="6">
        <f t="shared" si="73"/>
        <v>51.774727875059156</v>
      </c>
      <c r="S662" s="6">
        <f t="shared" si="74"/>
        <v>47.349177330895799</v>
      </c>
      <c r="T662" s="6">
        <f t="shared" si="75"/>
        <v>1326.8314323950672</v>
      </c>
      <c r="U662" s="6">
        <f t="shared" si="76"/>
        <v>14.268314323950673</v>
      </c>
    </row>
    <row r="663" spans="1:21" x14ac:dyDescent="0.3">
      <c r="A663" s="2">
        <v>45860</v>
      </c>
      <c r="B663" t="s">
        <v>14</v>
      </c>
      <c r="C663" t="s">
        <v>19</v>
      </c>
      <c r="D663" t="s">
        <v>24</v>
      </c>
      <c r="E663" t="s">
        <v>86</v>
      </c>
      <c r="F663">
        <v>295519</v>
      </c>
      <c r="G663">
        <v>20154</v>
      </c>
      <c r="H663">
        <v>3461</v>
      </c>
      <c r="I663">
        <v>1995</v>
      </c>
      <c r="J663">
        <v>1138</v>
      </c>
      <c r="K663" s="4">
        <v>221471.19</v>
      </c>
      <c r="L663" s="4">
        <v>8555769.9199999999</v>
      </c>
      <c r="M663" t="s">
        <v>33</v>
      </c>
      <c r="N663">
        <f t="shared" si="70"/>
        <v>1</v>
      </c>
      <c r="O663" t="str">
        <f>IF(AND(G663&lt;=F663,H663&lt;=G663,I663&lt;=H663,J663&lt;=I663),"OK","Check")</f>
        <v>OK</v>
      </c>
      <c r="P663" s="6">
        <f t="shared" si="71"/>
        <v>6.8198660661412625</v>
      </c>
      <c r="Q663" s="6">
        <f t="shared" si="72"/>
        <v>17.172769673513944</v>
      </c>
      <c r="R663" s="6">
        <f t="shared" si="73"/>
        <v>57.642299913319853</v>
      </c>
      <c r="S663" s="6">
        <f t="shared" si="74"/>
        <v>57.042606516290725</v>
      </c>
      <c r="T663" s="6">
        <f t="shared" si="75"/>
        <v>3763.1525481937401</v>
      </c>
      <c r="U663" s="6">
        <f t="shared" si="76"/>
        <v>38.631525481937402</v>
      </c>
    </row>
    <row r="664" spans="1:21" x14ac:dyDescent="0.3">
      <c r="A664" s="2">
        <v>45861</v>
      </c>
      <c r="B664" t="s">
        <v>14</v>
      </c>
      <c r="C664" t="s">
        <v>19</v>
      </c>
      <c r="D664" t="s">
        <v>24</v>
      </c>
      <c r="E664" t="s">
        <v>86</v>
      </c>
      <c r="F664">
        <v>102281</v>
      </c>
      <c r="G664">
        <v>7277</v>
      </c>
      <c r="H664">
        <v>1524</v>
      </c>
      <c r="I664">
        <v>814</v>
      </c>
      <c r="J664">
        <v>398</v>
      </c>
      <c r="K664" s="4">
        <v>41674.82</v>
      </c>
      <c r="L664" s="4">
        <v>2247547.73</v>
      </c>
      <c r="M664" t="s">
        <v>33</v>
      </c>
      <c r="N664">
        <f t="shared" si="70"/>
        <v>1</v>
      </c>
      <c r="O664" t="str">
        <f>IF(AND(G664&lt;=F664,H664&lt;=G664,I664&lt;=H664,J664&lt;=I664),"OK","Check")</f>
        <v>OK</v>
      </c>
      <c r="P664" s="6">
        <f t="shared" si="71"/>
        <v>7.1147133876282007</v>
      </c>
      <c r="Q664" s="6">
        <f t="shared" si="72"/>
        <v>20.942696166002474</v>
      </c>
      <c r="R664" s="6">
        <f t="shared" si="73"/>
        <v>53.412073490813647</v>
      </c>
      <c r="S664" s="6">
        <f t="shared" si="74"/>
        <v>48.894348894348894</v>
      </c>
      <c r="T664" s="6">
        <f t="shared" si="75"/>
        <v>5293.0592381682754</v>
      </c>
      <c r="U664" s="6">
        <f t="shared" si="76"/>
        <v>53.93059238168275</v>
      </c>
    </row>
    <row r="665" spans="1:21" x14ac:dyDescent="0.3">
      <c r="A665" s="2">
        <v>45862</v>
      </c>
      <c r="B665" t="s">
        <v>14</v>
      </c>
      <c r="C665" t="s">
        <v>19</v>
      </c>
      <c r="D665" t="s">
        <v>24</v>
      </c>
      <c r="E665" t="s">
        <v>86</v>
      </c>
      <c r="F665">
        <v>69228</v>
      </c>
      <c r="G665">
        <v>2248</v>
      </c>
      <c r="H665">
        <v>378</v>
      </c>
      <c r="I665">
        <v>231</v>
      </c>
      <c r="J665">
        <v>127</v>
      </c>
      <c r="K665" s="4">
        <v>47888.71</v>
      </c>
      <c r="L665" s="4">
        <v>980730.14</v>
      </c>
      <c r="M665" t="s">
        <v>33</v>
      </c>
      <c r="N665">
        <f t="shared" si="70"/>
        <v>1</v>
      </c>
      <c r="O665" t="str">
        <f>IF(AND(G665&lt;=F665,H665&lt;=G665,I665&lt;=H665,J665&lt;=I665),"OK","Check")</f>
        <v>OK</v>
      </c>
      <c r="P665" s="6">
        <f t="shared" si="71"/>
        <v>3.2472410007511407</v>
      </c>
      <c r="Q665" s="6">
        <f t="shared" si="72"/>
        <v>16.814946619217082</v>
      </c>
      <c r="R665" s="6">
        <f t="shared" si="73"/>
        <v>61.111111111111114</v>
      </c>
      <c r="S665" s="6">
        <f t="shared" si="74"/>
        <v>54.978354978354979</v>
      </c>
      <c r="T665" s="6">
        <f t="shared" si="75"/>
        <v>1947.9360166519416</v>
      </c>
      <c r="U665" s="6">
        <f t="shared" si="76"/>
        <v>20.479360166519417</v>
      </c>
    </row>
    <row r="666" spans="1:21" x14ac:dyDescent="0.3">
      <c r="A666" s="2">
        <v>45863</v>
      </c>
      <c r="B666" t="s">
        <v>14</v>
      </c>
      <c r="C666" t="s">
        <v>19</v>
      </c>
      <c r="D666" t="s">
        <v>24</v>
      </c>
      <c r="E666" t="s">
        <v>86</v>
      </c>
      <c r="F666">
        <v>195078</v>
      </c>
      <c r="G666">
        <v>11378</v>
      </c>
      <c r="H666">
        <v>2824</v>
      </c>
      <c r="I666">
        <v>1362</v>
      </c>
      <c r="J666">
        <v>720</v>
      </c>
      <c r="K666" s="4">
        <v>101190.07</v>
      </c>
      <c r="L666" s="4">
        <v>4473021.84</v>
      </c>
      <c r="M666" t="s">
        <v>33</v>
      </c>
      <c r="N666">
        <f t="shared" si="70"/>
        <v>1</v>
      </c>
      <c r="O666" t="str">
        <f>IF(AND(G666&lt;=F666,H666&lt;=G666,I666&lt;=H666,J666&lt;=I666),"OK","Check")</f>
        <v>OK</v>
      </c>
      <c r="P666" s="6">
        <f t="shared" si="71"/>
        <v>5.8325387793600507</v>
      </c>
      <c r="Q666" s="6">
        <f t="shared" si="72"/>
        <v>24.819827737739498</v>
      </c>
      <c r="R666" s="6">
        <f t="shared" si="73"/>
        <v>48.229461756373937</v>
      </c>
      <c r="S666" s="6">
        <f t="shared" si="74"/>
        <v>52.863436123348016</v>
      </c>
      <c r="T666" s="6">
        <f t="shared" si="75"/>
        <v>4320.4157977161185</v>
      </c>
      <c r="U666" s="6">
        <f t="shared" si="76"/>
        <v>44.204157977161195</v>
      </c>
    </row>
    <row r="667" spans="1:21" x14ac:dyDescent="0.3">
      <c r="A667" s="2">
        <v>45864</v>
      </c>
      <c r="B667" t="s">
        <v>14</v>
      </c>
      <c r="C667" t="s">
        <v>19</v>
      </c>
      <c r="D667" t="s">
        <v>24</v>
      </c>
      <c r="E667" t="s">
        <v>86</v>
      </c>
      <c r="F667">
        <v>98148</v>
      </c>
      <c r="G667">
        <v>6924</v>
      </c>
      <c r="H667">
        <v>1556</v>
      </c>
      <c r="I667">
        <v>839</v>
      </c>
      <c r="J667">
        <v>415</v>
      </c>
      <c r="K667" s="4">
        <v>82010.11</v>
      </c>
      <c r="L667" s="4">
        <v>2689713.42</v>
      </c>
      <c r="M667" t="s">
        <v>35</v>
      </c>
      <c r="N667">
        <f t="shared" si="70"/>
        <v>1</v>
      </c>
      <c r="O667" t="str">
        <f>IF(AND(G667&lt;=F667,H667&lt;=G667,I667&lt;=H667,J667&lt;=I667),"OK","Check")</f>
        <v>OK</v>
      </c>
      <c r="P667" s="6">
        <f t="shared" si="71"/>
        <v>7.0546521579655215</v>
      </c>
      <c r="Q667" s="6">
        <f t="shared" si="72"/>
        <v>22.472559214326978</v>
      </c>
      <c r="R667" s="6">
        <f t="shared" si="73"/>
        <v>53.920308483290491</v>
      </c>
      <c r="S667" s="6">
        <f t="shared" si="74"/>
        <v>49.463647199046484</v>
      </c>
      <c r="T667" s="6">
        <f t="shared" si="75"/>
        <v>3179.7339498752044</v>
      </c>
      <c r="U667" s="6">
        <f t="shared" si="76"/>
        <v>32.797339498752045</v>
      </c>
    </row>
    <row r="668" spans="1:21" x14ac:dyDescent="0.3">
      <c r="A668" s="2">
        <v>45865</v>
      </c>
      <c r="B668" t="s">
        <v>14</v>
      </c>
      <c r="C668" t="s">
        <v>19</v>
      </c>
      <c r="D668" t="s">
        <v>24</v>
      </c>
      <c r="E668" t="s">
        <v>86</v>
      </c>
      <c r="F668">
        <v>288669</v>
      </c>
      <c r="G668">
        <v>16685</v>
      </c>
      <c r="H668">
        <v>2685</v>
      </c>
      <c r="I668">
        <v>1692</v>
      </c>
      <c r="J668">
        <v>697</v>
      </c>
      <c r="K668" s="4">
        <v>197363.38</v>
      </c>
      <c r="L668" s="4">
        <v>2266273.4</v>
      </c>
      <c r="M668" t="s">
        <v>34</v>
      </c>
      <c r="N668">
        <f t="shared" si="70"/>
        <v>1</v>
      </c>
      <c r="O668" t="str">
        <f>IF(AND(G668&lt;=F668,H668&lt;=G668,I668&lt;=H668,J668&lt;=I668),"OK","Check")</f>
        <v>OK</v>
      </c>
      <c r="P668" s="6">
        <f t="shared" si="71"/>
        <v>5.7799763743249191</v>
      </c>
      <c r="Q668" s="6">
        <f t="shared" si="72"/>
        <v>16.092298471681151</v>
      </c>
      <c r="R668" s="6">
        <f t="shared" si="73"/>
        <v>63.016759776536311</v>
      </c>
      <c r="S668" s="6">
        <f t="shared" si="74"/>
        <v>41.193853427895981</v>
      </c>
      <c r="T668" s="6">
        <f t="shared" si="75"/>
        <v>1048.2745177955505</v>
      </c>
      <c r="U668" s="6">
        <f t="shared" si="76"/>
        <v>11.482745177955504</v>
      </c>
    </row>
    <row r="669" spans="1:21" x14ac:dyDescent="0.3">
      <c r="A669" s="2">
        <v>45866</v>
      </c>
      <c r="B669" t="s">
        <v>14</v>
      </c>
      <c r="C669" t="s">
        <v>19</v>
      </c>
      <c r="D669" t="s">
        <v>24</v>
      </c>
      <c r="E669" t="s">
        <v>86</v>
      </c>
      <c r="F669">
        <v>228940</v>
      </c>
      <c r="G669">
        <v>7307</v>
      </c>
      <c r="H669">
        <v>1297</v>
      </c>
      <c r="I669">
        <v>812</v>
      </c>
      <c r="J669">
        <v>445</v>
      </c>
      <c r="K669" s="4">
        <v>100965.24</v>
      </c>
      <c r="L669" s="4">
        <v>1835902.46</v>
      </c>
      <c r="M669" t="s">
        <v>32</v>
      </c>
      <c r="N669">
        <f t="shared" si="70"/>
        <v>1</v>
      </c>
      <c r="O669" t="str">
        <f>IF(AND(G669&lt;=F669,H669&lt;=G669,I669&lt;=H669,J669&lt;=I669),"OK","Check")</f>
        <v>OK</v>
      </c>
      <c r="P669" s="6">
        <f t="shared" si="71"/>
        <v>3.1916659386738884</v>
      </c>
      <c r="Q669" s="6">
        <f t="shared" si="72"/>
        <v>17.75010264130286</v>
      </c>
      <c r="R669" s="6">
        <f t="shared" si="73"/>
        <v>62.606013878180413</v>
      </c>
      <c r="S669" s="6">
        <f t="shared" si="74"/>
        <v>54.802955665024633</v>
      </c>
      <c r="T669" s="6">
        <f t="shared" si="75"/>
        <v>1718.3510087233981</v>
      </c>
      <c r="U669" s="6">
        <f t="shared" si="76"/>
        <v>18.18351008723398</v>
      </c>
    </row>
    <row r="670" spans="1:21" x14ac:dyDescent="0.3">
      <c r="A670" s="2">
        <v>45867</v>
      </c>
      <c r="B670" t="s">
        <v>14</v>
      </c>
      <c r="C670" t="s">
        <v>19</v>
      </c>
      <c r="D670" t="s">
        <v>24</v>
      </c>
      <c r="E670" t="s">
        <v>86</v>
      </c>
      <c r="F670">
        <v>103373</v>
      </c>
      <c r="G670">
        <v>6280</v>
      </c>
      <c r="H670">
        <v>1324</v>
      </c>
      <c r="I670">
        <v>665</v>
      </c>
      <c r="J670">
        <v>319</v>
      </c>
      <c r="K670" s="4">
        <v>91234.94</v>
      </c>
      <c r="L670" s="4">
        <v>1337659.8600000001</v>
      </c>
      <c r="M670" t="s">
        <v>31</v>
      </c>
      <c r="N670">
        <f t="shared" si="70"/>
        <v>1</v>
      </c>
      <c r="O670" t="str">
        <f>IF(AND(G670&lt;=F670,H670&lt;=G670,I670&lt;=H670,J670&lt;=I670),"OK","Check")</f>
        <v>OK</v>
      </c>
      <c r="P670" s="6">
        <f t="shared" si="71"/>
        <v>6.0750873051957477</v>
      </c>
      <c r="Q670" s="6">
        <f t="shared" si="72"/>
        <v>21.082802547770701</v>
      </c>
      <c r="R670" s="6">
        <f t="shared" si="73"/>
        <v>50.226586102719025</v>
      </c>
      <c r="S670" s="6">
        <f t="shared" si="74"/>
        <v>47.969924812030072</v>
      </c>
      <c r="T670" s="6">
        <f t="shared" si="75"/>
        <v>1366.1705920999127</v>
      </c>
      <c r="U670" s="6">
        <f t="shared" si="76"/>
        <v>14.661705920999127</v>
      </c>
    </row>
    <row r="671" spans="1:21" x14ac:dyDescent="0.3">
      <c r="A671" s="2">
        <v>45868</v>
      </c>
      <c r="B671" t="s">
        <v>14</v>
      </c>
      <c r="C671" t="s">
        <v>19</v>
      </c>
      <c r="D671" t="s">
        <v>24</v>
      </c>
      <c r="E671" t="s">
        <v>86</v>
      </c>
      <c r="F671">
        <v>183663</v>
      </c>
      <c r="G671">
        <v>7335</v>
      </c>
      <c r="H671">
        <v>1401</v>
      </c>
      <c r="I671">
        <v>843</v>
      </c>
      <c r="J671">
        <v>357</v>
      </c>
      <c r="K671" s="4">
        <v>159534.43</v>
      </c>
      <c r="L671" s="4">
        <v>2405412.1800000002</v>
      </c>
      <c r="M671" t="s">
        <v>31</v>
      </c>
      <c r="N671">
        <f t="shared" si="70"/>
        <v>1</v>
      </c>
      <c r="O671" t="str">
        <f>IF(AND(G671&lt;=F671,H671&lt;=G671,I671&lt;=H671,J671&lt;=I671),"OK","Check")</f>
        <v>OK</v>
      </c>
      <c r="P671" s="6">
        <f t="shared" si="71"/>
        <v>3.993727642475621</v>
      </c>
      <c r="Q671" s="6">
        <f t="shared" si="72"/>
        <v>19.100204498977504</v>
      </c>
      <c r="R671" s="6">
        <f t="shared" si="73"/>
        <v>60.171306209850108</v>
      </c>
      <c r="S671" s="6">
        <f t="shared" si="74"/>
        <v>42.34875444839858</v>
      </c>
      <c r="T671" s="6">
        <f t="shared" si="75"/>
        <v>1407.7699403194658</v>
      </c>
      <c r="U671" s="6">
        <f t="shared" si="76"/>
        <v>15.077699403194661</v>
      </c>
    </row>
    <row r="672" spans="1:21" x14ac:dyDescent="0.3">
      <c r="A672" s="2">
        <v>45869</v>
      </c>
      <c r="B672" t="s">
        <v>14</v>
      </c>
      <c r="C672" t="s">
        <v>19</v>
      </c>
      <c r="D672" t="s">
        <v>24</v>
      </c>
      <c r="E672" t="s">
        <v>86</v>
      </c>
      <c r="F672">
        <v>125289</v>
      </c>
      <c r="G672">
        <v>5916</v>
      </c>
      <c r="H672">
        <v>1354</v>
      </c>
      <c r="I672">
        <v>610</v>
      </c>
      <c r="J672">
        <v>295</v>
      </c>
      <c r="K672" s="4">
        <v>81381.38</v>
      </c>
      <c r="L672" s="4">
        <v>2009705.99</v>
      </c>
      <c r="M672" t="s">
        <v>33</v>
      </c>
      <c r="N672">
        <f t="shared" si="70"/>
        <v>1</v>
      </c>
      <c r="O672" t="str">
        <f>IF(AND(G672&lt;=F672,H672&lt;=G672,I672&lt;=H672,J672&lt;=I672),"OK","Check")</f>
        <v>OK</v>
      </c>
      <c r="P672" s="6">
        <f t="shared" si="71"/>
        <v>4.7218830064889969</v>
      </c>
      <c r="Q672" s="6">
        <f t="shared" si="72"/>
        <v>22.88708586883029</v>
      </c>
      <c r="R672" s="6">
        <f t="shared" si="73"/>
        <v>45.05169867060561</v>
      </c>
      <c r="S672" s="6">
        <f t="shared" si="74"/>
        <v>48.360655737704917</v>
      </c>
      <c r="T672" s="6">
        <f t="shared" si="75"/>
        <v>2369.4911661611045</v>
      </c>
      <c r="U672" s="6">
        <f t="shared" si="76"/>
        <v>24.694911661611044</v>
      </c>
    </row>
    <row r="673" spans="1:21" x14ac:dyDescent="0.3">
      <c r="A673" s="2">
        <v>45870</v>
      </c>
      <c r="B673" t="s">
        <v>14</v>
      </c>
      <c r="C673" t="s">
        <v>19</v>
      </c>
      <c r="D673" t="s">
        <v>24</v>
      </c>
      <c r="E673" t="s">
        <v>86</v>
      </c>
      <c r="F673">
        <v>82289</v>
      </c>
      <c r="G673">
        <v>2865</v>
      </c>
      <c r="H673">
        <v>627</v>
      </c>
      <c r="I673">
        <v>344</v>
      </c>
      <c r="J673">
        <v>153</v>
      </c>
      <c r="K673" s="4">
        <v>72603.02</v>
      </c>
      <c r="L673" s="4">
        <v>791070.5</v>
      </c>
      <c r="M673" t="s">
        <v>31</v>
      </c>
      <c r="N673">
        <f t="shared" si="70"/>
        <v>1</v>
      </c>
      <c r="O673" t="str">
        <f>IF(AND(G673&lt;=F673,H673&lt;=G673,I673&lt;=H673,J673&lt;=I673),"OK","Check")</f>
        <v>OK</v>
      </c>
      <c r="P673" s="6">
        <f t="shared" si="71"/>
        <v>3.4816318098409265</v>
      </c>
      <c r="Q673" s="6">
        <f t="shared" si="72"/>
        <v>21.8848167539267</v>
      </c>
      <c r="R673" s="6">
        <f t="shared" si="73"/>
        <v>54.864433811802236</v>
      </c>
      <c r="S673" s="6">
        <f t="shared" si="74"/>
        <v>44.47674418604651</v>
      </c>
      <c r="T673" s="6">
        <f t="shared" si="75"/>
        <v>989.5834636079876</v>
      </c>
      <c r="U673" s="6">
        <f t="shared" si="76"/>
        <v>10.895834636079876</v>
      </c>
    </row>
    <row r="674" spans="1:21" x14ac:dyDescent="0.3">
      <c r="A674" s="2">
        <v>45871</v>
      </c>
      <c r="B674" t="s">
        <v>14</v>
      </c>
      <c r="C674" t="s">
        <v>19</v>
      </c>
      <c r="D674" t="s">
        <v>24</v>
      </c>
      <c r="E674" t="s">
        <v>86</v>
      </c>
      <c r="F674">
        <v>122204</v>
      </c>
      <c r="G674">
        <v>4702</v>
      </c>
      <c r="H674">
        <v>1151</v>
      </c>
      <c r="I674">
        <v>571</v>
      </c>
      <c r="J674">
        <v>334</v>
      </c>
      <c r="K674" s="4">
        <v>64654.83</v>
      </c>
      <c r="L674" s="4">
        <v>1107200.51</v>
      </c>
      <c r="M674" t="s">
        <v>32</v>
      </c>
      <c r="N674">
        <f t="shared" si="70"/>
        <v>1</v>
      </c>
      <c r="O674" t="str">
        <f>IF(AND(G674&lt;=F674,H674&lt;=G674,I674&lt;=H674,J674&lt;=I674),"OK","Check")</f>
        <v>OK</v>
      </c>
      <c r="P674" s="6">
        <f t="shared" si="71"/>
        <v>3.8476645608981701</v>
      </c>
      <c r="Q674" s="6">
        <f t="shared" si="72"/>
        <v>24.478945129732029</v>
      </c>
      <c r="R674" s="6">
        <f t="shared" si="73"/>
        <v>49.609035621198956</v>
      </c>
      <c r="S674" s="6">
        <f t="shared" si="74"/>
        <v>58.493870402802109</v>
      </c>
      <c r="T674" s="6">
        <f t="shared" si="75"/>
        <v>1612.4791914231314</v>
      </c>
      <c r="U674" s="6">
        <f t="shared" si="76"/>
        <v>17.124791914231309</v>
      </c>
    </row>
    <row r="675" spans="1:21" x14ac:dyDescent="0.3">
      <c r="A675" s="2">
        <v>45872</v>
      </c>
      <c r="B675" t="s">
        <v>14</v>
      </c>
      <c r="C675" t="s">
        <v>19</v>
      </c>
      <c r="D675" t="s">
        <v>24</v>
      </c>
      <c r="E675" t="s">
        <v>86</v>
      </c>
      <c r="F675">
        <v>282568</v>
      </c>
      <c r="G675">
        <v>20991</v>
      </c>
      <c r="H675">
        <v>3160</v>
      </c>
      <c r="I675">
        <v>1720</v>
      </c>
      <c r="J675">
        <v>1027</v>
      </c>
      <c r="K675" s="4">
        <v>254928.95</v>
      </c>
      <c r="L675" s="4">
        <v>4693041.45</v>
      </c>
      <c r="M675" t="s">
        <v>33</v>
      </c>
      <c r="N675">
        <f t="shared" si="70"/>
        <v>1</v>
      </c>
      <c r="O675" t="str">
        <f>IF(AND(G675&lt;=F675,H675&lt;=G675,I675&lt;=H675,J675&lt;=I675),"OK","Check")</f>
        <v>OK</v>
      </c>
      <c r="P675" s="6">
        <f t="shared" si="71"/>
        <v>7.428654341609807</v>
      </c>
      <c r="Q675" s="6">
        <f t="shared" si="72"/>
        <v>15.054070792244294</v>
      </c>
      <c r="R675" s="6">
        <f t="shared" si="73"/>
        <v>54.430379746835442</v>
      </c>
      <c r="S675" s="6">
        <f t="shared" si="74"/>
        <v>59.70930232558139</v>
      </c>
      <c r="T675" s="6">
        <f t="shared" si="75"/>
        <v>1740.9213429859574</v>
      </c>
      <c r="U675" s="6">
        <f t="shared" si="76"/>
        <v>18.409213429859573</v>
      </c>
    </row>
    <row r="676" spans="1:21" x14ac:dyDescent="0.3">
      <c r="A676" s="2">
        <v>45873</v>
      </c>
      <c r="B676" t="s">
        <v>14</v>
      </c>
      <c r="C676" t="s">
        <v>19</v>
      </c>
      <c r="D676" t="s">
        <v>24</v>
      </c>
      <c r="E676" t="s">
        <v>86</v>
      </c>
      <c r="F676">
        <v>276741</v>
      </c>
      <c r="G676">
        <v>8329</v>
      </c>
      <c r="H676">
        <v>2013</v>
      </c>
      <c r="I676">
        <v>1048</v>
      </c>
      <c r="J676">
        <v>550</v>
      </c>
      <c r="K676" s="4">
        <v>241422.3</v>
      </c>
      <c r="L676" s="4">
        <v>3218248.07</v>
      </c>
      <c r="M676" t="s">
        <v>34</v>
      </c>
      <c r="N676">
        <f t="shared" si="70"/>
        <v>1</v>
      </c>
      <c r="O676" t="str">
        <f>IF(AND(G676&lt;=F676,H676&lt;=G676,I676&lt;=H676,J676&lt;=I676),"OK","Check")</f>
        <v>OK</v>
      </c>
      <c r="P676" s="6">
        <f t="shared" si="71"/>
        <v>3.0096733046422468</v>
      </c>
      <c r="Q676" s="6">
        <f t="shared" si="72"/>
        <v>24.168567655180695</v>
      </c>
      <c r="R676" s="6">
        <f t="shared" si="73"/>
        <v>52.061599602583208</v>
      </c>
      <c r="S676" s="6">
        <f t="shared" si="74"/>
        <v>52.480916030534353</v>
      </c>
      <c r="T676" s="6">
        <f t="shared" si="75"/>
        <v>1233.0367865768822</v>
      </c>
      <c r="U676" s="6">
        <f t="shared" si="76"/>
        <v>13.330367865768821</v>
      </c>
    </row>
    <row r="677" spans="1:21" x14ac:dyDescent="0.3">
      <c r="A677" s="2">
        <v>45874</v>
      </c>
      <c r="B677" t="s">
        <v>14</v>
      </c>
      <c r="C677" t="s">
        <v>19</v>
      </c>
      <c r="D677" t="s">
        <v>24</v>
      </c>
      <c r="E677" t="s">
        <v>86</v>
      </c>
      <c r="F677">
        <v>276190</v>
      </c>
      <c r="G677">
        <v>8837</v>
      </c>
      <c r="H677">
        <v>1345</v>
      </c>
      <c r="I677">
        <v>850</v>
      </c>
      <c r="J677">
        <v>400</v>
      </c>
      <c r="K677" s="4">
        <v>258734.91</v>
      </c>
      <c r="L677" s="4">
        <v>1603909.43</v>
      </c>
      <c r="M677" t="s">
        <v>34</v>
      </c>
      <c r="N677">
        <f t="shared" si="70"/>
        <v>1</v>
      </c>
      <c r="O677" t="str">
        <f>IF(AND(G677&lt;=F677,H677&lt;=G677,I677&lt;=H677,J677&lt;=I677),"OK","Check")</f>
        <v>OK</v>
      </c>
      <c r="P677" s="6">
        <f t="shared" si="71"/>
        <v>3.1996089648430424</v>
      </c>
      <c r="Q677" s="6">
        <f t="shared" si="72"/>
        <v>15.220097318094375</v>
      </c>
      <c r="R677" s="6">
        <f t="shared" si="73"/>
        <v>63.19702602230484</v>
      </c>
      <c r="S677" s="6">
        <f t="shared" si="74"/>
        <v>47.058823529411761</v>
      </c>
      <c r="T677" s="6">
        <f t="shared" si="75"/>
        <v>519.90453085747106</v>
      </c>
      <c r="U677" s="6">
        <f t="shared" si="76"/>
        <v>6.1990453085747106</v>
      </c>
    </row>
    <row r="678" spans="1:21" x14ac:dyDescent="0.3">
      <c r="A678" s="2">
        <v>45875</v>
      </c>
      <c r="B678" t="s">
        <v>14</v>
      </c>
      <c r="C678" t="s">
        <v>19</v>
      </c>
      <c r="D678" t="s">
        <v>24</v>
      </c>
      <c r="E678" t="s">
        <v>86</v>
      </c>
      <c r="F678">
        <v>157823</v>
      </c>
      <c r="G678">
        <v>7462</v>
      </c>
      <c r="H678">
        <v>1653</v>
      </c>
      <c r="I678">
        <v>1051</v>
      </c>
      <c r="J678">
        <v>551</v>
      </c>
      <c r="K678" s="4">
        <v>152142.20000000001</v>
      </c>
      <c r="L678" s="4">
        <v>2267468.2599999998</v>
      </c>
      <c r="M678" t="s">
        <v>34</v>
      </c>
      <c r="N678">
        <f t="shared" si="70"/>
        <v>1</v>
      </c>
      <c r="O678" t="str">
        <f>IF(AND(G678&lt;=F678,H678&lt;=G678,I678&lt;=H678,J678&lt;=I678),"OK","Check")</f>
        <v>OK</v>
      </c>
      <c r="P678" s="6">
        <f t="shared" si="71"/>
        <v>4.7280814583425732</v>
      </c>
      <c r="Q678" s="6">
        <f t="shared" si="72"/>
        <v>22.152238005896542</v>
      </c>
      <c r="R678" s="6">
        <f t="shared" si="73"/>
        <v>63.58136721113128</v>
      </c>
      <c r="S678" s="6">
        <f t="shared" si="74"/>
        <v>52.426260704091341</v>
      </c>
      <c r="T678" s="6">
        <f t="shared" si="75"/>
        <v>1390.361162123329</v>
      </c>
      <c r="U678" s="6">
        <f t="shared" si="76"/>
        <v>14.90361162123329</v>
      </c>
    </row>
    <row r="679" spans="1:21" x14ac:dyDescent="0.3">
      <c r="A679" s="2">
        <v>45876</v>
      </c>
      <c r="B679" t="s">
        <v>14</v>
      </c>
      <c r="C679" t="s">
        <v>19</v>
      </c>
      <c r="D679" t="s">
        <v>24</v>
      </c>
      <c r="E679" t="s">
        <v>86</v>
      </c>
      <c r="F679">
        <v>168164</v>
      </c>
      <c r="G679">
        <v>12919</v>
      </c>
      <c r="H679">
        <v>3045</v>
      </c>
      <c r="I679">
        <v>1753</v>
      </c>
      <c r="J679">
        <v>778</v>
      </c>
      <c r="K679" s="4">
        <v>141390.10999999999</v>
      </c>
      <c r="L679" s="4">
        <v>3060297.73</v>
      </c>
      <c r="M679" t="s">
        <v>34</v>
      </c>
      <c r="N679">
        <f t="shared" si="70"/>
        <v>1</v>
      </c>
      <c r="O679" t="str">
        <f>IF(AND(G679&lt;=F679,H679&lt;=G679,I679&lt;=H679,J679&lt;=I679),"OK","Check")</f>
        <v>OK</v>
      </c>
      <c r="P679" s="6">
        <f t="shared" si="71"/>
        <v>7.6823814847410858</v>
      </c>
      <c r="Q679" s="6">
        <f t="shared" si="72"/>
        <v>23.569935753541298</v>
      </c>
      <c r="R679" s="6">
        <f t="shared" si="73"/>
        <v>57.569786535303777</v>
      </c>
      <c r="S679" s="6">
        <f t="shared" si="74"/>
        <v>44.381061038220196</v>
      </c>
      <c r="T679" s="6">
        <f t="shared" si="75"/>
        <v>2064.435496938223</v>
      </c>
      <c r="U679" s="6">
        <f t="shared" si="76"/>
        <v>21.644354969382231</v>
      </c>
    </row>
    <row r="680" spans="1:21" x14ac:dyDescent="0.3">
      <c r="A680" s="2">
        <v>45877</v>
      </c>
      <c r="B680" t="s">
        <v>14</v>
      </c>
      <c r="C680" t="s">
        <v>19</v>
      </c>
      <c r="D680" t="s">
        <v>24</v>
      </c>
      <c r="E680" t="s">
        <v>86</v>
      </c>
      <c r="F680">
        <v>196818</v>
      </c>
      <c r="G680">
        <v>10477</v>
      </c>
      <c r="H680">
        <v>1940</v>
      </c>
      <c r="I680">
        <v>1106</v>
      </c>
      <c r="J680">
        <v>531</v>
      </c>
      <c r="K680" s="4">
        <v>148549.07</v>
      </c>
      <c r="L680" s="4">
        <v>4182575.02</v>
      </c>
      <c r="M680" t="s">
        <v>32</v>
      </c>
      <c r="N680">
        <f t="shared" si="70"/>
        <v>1</v>
      </c>
      <c r="O680" t="str">
        <f>IF(AND(G680&lt;=F680,H680&lt;=G680,I680&lt;=H680,J680&lt;=I680),"OK","Check")</f>
        <v>OK</v>
      </c>
      <c r="P680" s="6">
        <f t="shared" si="71"/>
        <v>5.3231919844729649</v>
      </c>
      <c r="Q680" s="6">
        <f t="shared" si="72"/>
        <v>18.516750978333494</v>
      </c>
      <c r="R680" s="6">
        <f t="shared" si="73"/>
        <v>57.010309278350512</v>
      </c>
      <c r="S680" s="6">
        <f t="shared" si="74"/>
        <v>48.010849909584088</v>
      </c>
      <c r="T680" s="6">
        <f t="shared" si="75"/>
        <v>2715.6184485032454</v>
      </c>
      <c r="U680" s="6">
        <f t="shared" si="76"/>
        <v>28.156184485032455</v>
      </c>
    </row>
    <row r="681" spans="1:21" x14ac:dyDescent="0.3">
      <c r="A681" s="2">
        <v>45878</v>
      </c>
      <c r="B681" t="s">
        <v>14</v>
      </c>
      <c r="C681" t="s">
        <v>19</v>
      </c>
      <c r="D681" t="s">
        <v>24</v>
      </c>
      <c r="E681" t="s">
        <v>86</v>
      </c>
      <c r="F681">
        <v>87549</v>
      </c>
      <c r="G681">
        <v>4272</v>
      </c>
      <c r="H681">
        <v>877</v>
      </c>
      <c r="I681">
        <v>466</v>
      </c>
      <c r="J681">
        <v>259</v>
      </c>
      <c r="K681" s="4">
        <v>55978.68</v>
      </c>
      <c r="L681" s="4">
        <v>1264912.83</v>
      </c>
      <c r="M681" t="s">
        <v>33</v>
      </c>
      <c r="N681">
        <f t="shared" si="70"/>
        <v>1</v>
      </c>
      <c r="O681" t="str">
        <f>IF(AND(G681&lt;=F681,H681&lt;=G681,I681&lt;=H681,J681&lt;=I681),"OK","Check")</f>
        <v>OK</v>
      </c>
      <c r="P681" s="6">
        <f t="shared" si="71"/>
        <v>4.8795531645135863</v>
      </c>
      <c r="Q681" s="6">
        <f t="shared" si="72"/>
        <v>20.529026217228463</v>
      </c>
      <c r="R681" s="6">
        <f t="shared" si="73"/>
        <v>53.135689851767388</v>
      </c>
      <c r="S681" s="6">
        <f t="shared" si="74"/>
        <v>55.579399141630901</v>
      </c>
      <c r="T681" s="6">
        <f t="shared" si="75"/>
        <v>2159.6331853484221</v>
      </c>
      <c r="U681" s="6">
        <f t="shared" si="76"/>
        <v>22.596331853484219</v>
      </c>
    </row>
    <row r="682" spans="1:21" x14ac:dyDescent="0.3">
      <c r="A682" s="2">
        <v>45879</v>
      </c>
      <c r="B682" t="s">
        <v>14</v>
      </c>
      <c r="C682" t="s">
        <v>19</v>
      </c>
      <c r="D682" t="s">
        <v>24</v>
      </c>
      <c r="E682" t="s">
        <v>86</v>
      </c>
      <c r="F682">
        <v>209975</v>
      </c>
      <c r="G682">
        <v>7033</v>
      </c>
      <c r="H682">
        <v>1633</v>
      </c>
      <c r="I682">
        <v>987</v>
      </c>
      <c r="J682">
        <v>489</v>
      </c>
      <c r="K682" s="4">
        <v>104015.44</v>
      </c>
      <c r="L682" s="4">
        <v>3787589.47</v>
      </c>
      <c r="M682" t="s">
        <v>34</v>
      </c>
      <c r="N682">
        <f t="shared" si="70"/>
        <v>1</v>
      </c>
      <c r="O682" t="str">
        <f>IF(AND(G682&lt;=F682,H682&lt;=G682,I682&lt;=H682,J682&lt;=I682),"OK","Check")</f>
        <v>OK</v>
      </c>
      <c r="P682" s="6">
        <f t="shared" si="71"/>
        <v>3.3494463626622215</v>
      </c>
      <c r="Q682" s="6">
        <f t="shared" si="72"/>
        <v>23.219109910422294</v>
      </c>
      <c r="R682" s="6">
        <f t="shared" si="73"/>
        <v>60.440906307409684</v>
      </c>
      <c r="S682" s="6">
        <f t="shared" si="74"/>
        <v>49.544072948328264</v>
      </c>
      <c r="T682" s="6">
        <f t="shared" si="75"/>
        <v>3541.3723481821548</v>
      </c>
      <c r="U682" s="6">
        <f t="shared" si="76"/>
        <v>36.413723481821549</v>
      </c>
    </row>
    <row r="683" spans="1:21" x14ac:dyDescent="0.3">
      <c r="A683" s="2">
        <v>45880</v>
      </c>
      <c r="B683" t="s">
        <v>14</v>
      </c>
      <c r="C683" t="s">
        <v>19</v>
      </c>
      <c r="D683" t="s">
        <v>24</v>
      </c>
      <c r="E683" t="s">
        <v>86</v>
      </c>
      <c r="F683">
        <v>248579</v>
      </c>
      <c r="G683">
        <v>16137</v>
      </c>
      <c r="H683">
        <v>3772</v>
      </c>
      <c r="I683">
        <v>2122</v>
      </c>
      <c r="J683">
        <v>1032</v>
      </c>
      <c r="K683" s="4">
        <v>155529.26</v>
      </c>
      <c r="L683" s="4">
        <v>3706021.15</v>
      </c>
      <c r="M683" t="s">
        <v>33</v>
      </c>
      <c r="N683">
        <f t="shared" si="70"/>
        <v>1</v>
      </c>
      <c r="O683" t="str">
        <f>IF(AND(G683&lt;=F683,H683&lt;=G683,I683&lt;=H683,J683&lt;=I683),"OK","Check")</f>
        <v>OK</v>
      </c>
      <c r="P683" s="6">
        <f t="shared" si="71"/>
        <v>6.491698816070544</v>
      </c>
      <c r="Q683" s="6">
        <f t="shared" si="72"/>
        <v>23.374852822705584</v>
      </c>
      <c r="R683" s="6">
        <f t="shared" si="73"/>
        <v>56.256627783669146</v>
      </c>
      <c r="S683" s="6">
        <f t="shared" si="74"/>
        <v>48.633364750235621</v>
      </c>
      <c r="T683" s="6">
        <f t="shared" si="75"/>
        <v>2282.8449707791315</v>
      </c>
      <c r="U683" s="6">
        <f t="shared" si="76"/>
        <v>23.828449707791318</v>
      </c>
    </row>
    <row r="684" spans="1:21" x14ac:dyDescent="0.3">
      <c r="A684" s="2">
        <v>45881</v>
      </c>
      <c r="B684" t="s">
        <v>14</v>
      </c>
      <c r="C684" t="s">
        <v>19</v>
      </c>
      <c r="D684" t="s">
        <v>24</v>
      </c>
      <c r="E684" t="s">
        <v>86</v>
      </c>
      <c r="F684">
        <v>105929</v>
      </c>
      <c r="G684">
        <v>6513</v>
      </c>
      <c r="H684">
        <v>1176</v>
      </c>
      <c r="I684">
        <v>544</v>
      </c>
      <c r="J684">
        <v>290</v>
      </c>
      <c r="K684" s="4">
        <v>45471.22</v>
      </c>
      <c r="L684" s="4">
        <v>1842642.34</v>
      </c>
      <c r="M684" t="s">
        <v>33</v>
      </c>
      <c r="N684">
        <f t="shared" si="70"/>
        <v>1</v>
      </c>
      <c r="O684" t="str">
        <f>IF(AND(G684&lt;=F684,H684&lt;=G684,I684&lt;=H684,J684&lt;=I684),"OK","Check")</f>
        <v>OK</v>
      </c>
      <c r="P684" s="6">
        <f t="shared" si="71"/>
        <v>6.1484579293677841</v>
      </c>
      <c r="Q684" s="6">
        <f t="shared" si="72"/>
        <v>18.056195301704285</v>
      </c>
      <c r="R684" s="6">
        <f t="shared" si="73"/>
        <v>46.258503401360542</v>
      </c>
      <c r="S684" s="6">
        <f t="shared" si="74"/>
        <v>53.308823529411761</v>
      </c>
      <c r="T684" s="6">
        <f t="shared" si="75"/>
        <v>3952.326592512803</v>
      </c>
      <c r="U684" s="6">
        <f t="shared" si="76"/>
        <v>40.52326592512803</v>
      </c>
    </row>
    <row r="685" spans="1:21" x14ac:dyDescent="0.3">
      <c r="A685" s="2">
        <v>45882</v>
      </c>
      <c r="B685" t="s">
        <v>14</v>
      </c>
      <c r="C685" t="s">
        <v>19</v>
      </c>
      <c r="D685" t="s">
        <v>24</v>
      </c>
      <c r="E685" t="s">
        <v>86</v>
      </c>
      <c r="F685">
        <v>285906</v>
      </c>
      <c r="G685">
        <v>22490</v>
      </c>
      <c r="H685">
        <v>5143</v>
      </c>
      <c r="I685">
        <v>2920</v>
      </c>
      <c r="J685">
        <v>1595</v>
      </c>
      <c r="K685" s="4">
        <v>142184.53</v>
      </c>
      <c r="L685" s="4">
        <v>5142498.68</v>
      </c>
      <c r="M685" t="s">
        <v>33</v>
      </c>
      <c r="N685">
        <f t="shared" si="70"/>
        <v>1</v>
      </c>
      <c r="O685" t="str">
        <f>IF(AND(G685&lt;=F685,H685&lt;=G685,I685&lt;=H685,J685&lt;=I685),"OK","Check")</f>
        <v>OK</v>
      </c>
      <c r="P685" s="6">
        <f t="shared" si="71"/>
        <v>7.8662217651955535</v>
      </c>
      <c r="Q685" s="6">
        <f t="shared" si="72"/>
        <v>22.867941307247666</v>
      </c>
      <c r="R685" s="6">
        <f t="shared" si="73"/>
        <v>56.776200661092744</v>
      </c>
      <c r="S685" s="6">
        <f t="shared" si="74"/>
        <v>54.62328767123288</v>
      </c>
      <c r="T685" s="6">
        <f t="shared" si="75"/>
        <v>3516.7779152907842</v>
      </c>
      <c r="U685" s="6">
        <f t="shared" si="76"/>
        <v>36.167779152907841</v>
      </c>
    </row>
    <row r="686" spans="1:21" x14ac:dyDescent="0.3">
      <c r="A686" s="2">
        <v>45883</v>
      </c>
      <c r="B686" t="s">
        <v>14</v>
      </c>
      <c r="C686" t="s">
        <v>19</v>
      </c>
      <c r="D686" t="s">
        <v>24</v>
      </c>
      <c r="E686" t="s">
        <v>86</v>
      </c>
      <c r="F686">
        <v>114829</v>
      </c>
      <c r="G686">
        <v>6699</v>
      </c>
      <c r="H686">
        <v>1279</v>
      </c>
      <c r="I686">
        <v>675</v>
      </c>
      <c r="J686">
        <v>334</v>
      </c>
      <c r="K686" s="4">
        <v>87179.3</v>
      </c>
      <c r="L686" s="4">
        <v>2116901.4700000002</v>
      </c>
      <c r="M686" t="s">
        <v>34</v>
      </c>
      <c r="N686">
        <f t="shared" si="70"/>
        <v>1</v>
      </c>
      <c r="O686" t="str">
        <f>IF(AND(G686&lt;=F686,H686&lt;=G686,I686&lt;=H686,J686&lt;=I686),"OK","Check")</f>
        <v>OK</v>
      </c>
      <c r="P686" s="6">
        <f t="shared" si="71"/>
        <v>5.8338921352619986</v>
      </c>
      <c r="Q686" s="6">
        <f t="shared" si="72"/>
        <v>19.09240185102254</v>
      </c>
      <c r="R686" s="6">
        <f t="shared" si="73"/>
        <v>52.775605942142299</v>
      </c>
      <c r="S686" s="6">
        <f t="shared" si="74"/>
        <v>49.481481481481481</v>
      </c>
      <c r="T686" s="6">
        <f t="shared" si="75"/>
        <v>2328.2157232278764</v>
      </c>
      <c r="U686" s="6">
        <f t="shared" si="76"/>
        <v>24.282157232278767</v>
      </c>
    </row>
    <row r="687" spans="1:21" x14ac:dyDescent="0.3">
      <c r="A687" s="2">
        <v>45884</v>
      </c>
      <c r="B687" t="s">
        <v>14</v>
      </c>
      <c r="C687" t="s">
        <v>19</v>
      </c>
      <c r="D687" t="s">
        <v>24</v>
      </c>
      <c r="E687" t="s">
        <v>86</v>
      </c>
      <c r="F687">
        <v>139439</v>
      </c>
      <c r="G687">
        <v>8820</v>
      </c>
      <c r="H687">
        <v>2115</v>
      </c>
      <c r="I687">
        <v>1244</v>
      </c>
      <c r="J687">
        <v>610</v>
      </c>
      <c r="K687" s="4">
        <v>68482.23</v>
      </c>
      <c r="L687" s="4">
        <v>2965372.21</v>
      </c>
      <c r="M687" t="s">
        <v>35</v>
      </c>
      <c r="N687">
        <f t="shared" si="70"/>
        <v>1</v>
      </c>
      <c r="O687" t="str">
        <f>IF(AND(G687&lt;=F687,H687&lt;=G687,I687&lt;=H687,J687&lt;=I687),"OK","Check")</f>
        <v>OK</v>
      </c>
      <c r="P687" s="6">
        <f t="shared" si="71"/>
        <v>6.3253465673161742</v>
      </c>
      <c r="Q687" s="6">
        <f t="shared" si="72"/>
        <v>23.979591836734691</v>
      </c>
      <c r="R687" s="6">
        <f t="shared" si="73"/>
        <v>58.817966903073284</v>
      </c>
      <c r="S687" s="6">
        <f t="shared" si="74"/>
        <v>49.035369774919616</v>
      </c>
      <c r="T687" s="6">
        <f t="shared" si="75"/>
        <v>4230.13383179841</v>
      </c>
      <c r="U687" s="6">
        <f t="shared" si="76"/>
        <v>43.301338317984097</v>
      </c>
    </row>
    <row r="688" spans="1:21" x14ac:dyDescent="0.3">
      <c r="A688" s="2">
        <v>45885</v>
      </c>
      <c r="B688" t="s">
        <v>14</v>
      </c>
      <c r="C688" t="s">
        <v>19</v>
      </c>
      <c r="D688" t="s">
        <v>24</v>
      </c>
      <c r="E688" t="s">
        <v>86</v>
      </c>
      <c r="F688">
        <v>156143</v>
      </c>
      <c r="G688">
        <v>12051</v>
      </c>
      <c r="H688">
        <v>2488</v>
      </c>
      <c r="I688">
        <v>1574</v>
      </c>
      <c r="J688">
        <v>776</v>
      </c>
      <c r="K688" s="4">
        <v>67878.95</v>
      </c>
      <c r="L688" s="4">
        <v>6203499.9299999997</v>
      </c>
      <c r="M688" t="s">
        <v>33</v>
      </c>
      <c r="N688">
        <f t="shared" si="70"/>
        <v>1</v>
      </c>
      <c r="O688" t="str">
        <f>IF(AND(G688&lt;=F688,H688&lt;=G688,I688&lt;=H688,J688&lt;=I688),"OK","Check")</f>
        <v>OK</v>
      </c>
      <c r="P688" s="6">
        <f t="shared" si="71"/>
        <v>7.7179252352010659</v>
      </c>
      <c r="Q688" s="6">
        <f t="shared" si="72"/>
        <v>20.645589577628414</v>
      </c>
      <c r="R688" s="6">
        <f t="shared" si="73"/>
        <v>63.263665594855297</v>
      </c>
      <c r="S688" s="6">
        <f t="shared" si="74"/>
        <v>49.30114358322745</v>
      </c>
      <c r="T688" s="6">
        <f t="shared" si="75"/>
        <v>9039.062890631043</v>
      </c>
      <c r="U688" s="6">
        <f t="shared" si="76"/>
        <v>91.390628906310425</v>
      </c>
    </row>
    <row r="689" spans="1:21" x14ac:dyDescent="0.3">
      <c r="A689" s="2">
        <v>45886</v>
      </c>
      <c r="B689" t="s">
        <v>14</v>
      </c>
      <c r="C689" t="s">
        <v>19</v>
      </c>
      <c r="D689" t="s">
        <v>24</v>
      </c>
      <c r="E689" t="s">
        <v>86</v>
      </c>
      <c r="F689">
        <v>240812</v>
      </c>
      <c r="G689">
        <v>8480</v>
      </c>
      <c r="H689">
        <v>1398</v>
      </c>
      <c r="I689">
        <v>794</v>
      </c>
      <c r="J689">
        <v>351</v>
      </c>
      <c r="K689" s="4">
        <v>97560.76</v>
      </c>
      <c r="L689" s="4">
        <v>2504594.84</v>
      </c>
      <c r="M689" t="s">
        <v>35</v>
      </c>
      <c r="N689">
        <f t="shared" si="70"/>
        <v>1</v>
      </c>
      <c r="O689" t="str">
        <f>IF(AND(G689&lt;=F689,H689&lt;=G689,I689&lt;=H689,J689&lt;=I689),"OK","Check")</f>
        <v>OK</v>
      </c>
      <c r="P689" s="6">
        <f t="shared" si="71"/>
        <v>3.5214191983788181</v>
      </c>
      <c r="Q689" s="6">
        <f t="shared" si="72"/>
        <v>16.485849056603776</v>
      </c>
      <c r="R689" s="6">
        <f t="shared" si="73"/>
        <v>56.795422031473528</v>
      </c>
      <c r="S689" s="6">
        <f t="shared" si="74"/>
        <v>44.206549118387912</v>
      </c>
      <c r="T689" s="6">
        <f t="shared" si="75"/>
        <v>2467.2153845460002</v>
      </c>
      <c r="U689" s="6">
        <f t="shared" si="76"/>
        <v>25.672153845459999</v>
      </c>
    </row>
    <row r="690" spans="1:21" x14ac:dyDescent="0.3">
      <c r="A690" s="2">
        <v>45887</v>
      </c>
      <c r="B690" t="s">
        <v>14</v>
      </c>
      <c r="C690" t="s">
        <v>19</v>
      </c>
      <c r="D690" t="s">
        <v>24</v>
      </c>
      <c r="E690" t="s">
        <v>86</v>
      </c>
      <c r="F690">
        <v>138243</v>
      </c>
      <c r="G690">
        <v>8910</v>
      </c>
      <c r="H690">
        <v>1845</v>
      </c>
      <c r="I690">
        <v>909</v>
      </c>
      <c r="J690">
        <v>537</v>
      </c>
      <c r="K690" s="4">
        <v>101458.77</v>
      </c>
      <c r="L690" s="4">
        <v>3422258.08</v>
      </c>
      <c r="M690" t="s">
        <v>32</v>
      </c>
      <c r="N690">
        <f t="shared" si="70"/>
        <v>1</v>
      </c>
      <c r="O690" t="str">
        <f>IF(AND(G690&lt;=F690,H690&lt;=G690,I690&lt;=H690,J690&lt;=I690),"OK","Check")</f>
        <v>OK</v>
      </c>
      <c r="P690" s="6">
        <f t="shared" si="71"/>
        <v>6.4451726308022828</v>
      </c>
      <c r="Q690" s="6">
        <f t="shared" si="72"/>
        <v>20.707070707070706</v>
      </c>
      <c r="R690" s="6">
        <f t="shared" si="73"/>
        <v>49.268292682926827</v>
      </c>
      <c r="S690" s="6">
        <f t="shared" si="74"/>
        <v>59.07590759075908</v>
      </c>
      <c r="T690" s="6">
        <f t="shared" si="75"/>
        <v>3273.052994827357</v>
      </c>
      <c r="U690" s="6">
        <f t="shared" si="76"/>
        <v>33.730529948273571</v>
      </c>
    </row>
    <row r="691" spans="1:21" x14ac:dyDescent="0.3">
      <c r="A691" s="2">
        <v>45888</v>
      </c>
      <c r="B691" t="s">
        <v>14</v>
      </c>
      <c r="C691" t="s">
        <v>19</v>
      </c>
      <c r="D691" t="s">
        <v>24</v>
      </c>
      <c r="E691" t="s">
        <v>86</v>
      </c>
      <c r="F691">
        <v>218087</v>
      </c>
      <c r="G691">
        <v>9347</v>
      </c>
      <c r="H691">
        <v>2279</v>
      </c>
      <c r="I691">
        <v>1102</v>
      </c>
      <c r="J691">
        <v>475</v>
      </c>
      <c r="K691" s="4">
        <v>204860.79</v>
      </c>
      <c r="L691" s="4">
        <v>2934887.01</v>
      </c>
      <c r="M691" t="s">
        <v>35</v>
      </c>
      <c r="N691">
        <f t="shared" si="70"/>
        <v>1</v>
      </c>
      <c r="O691" t="str">
        <f>IF(AND(G691&lt;=F691,H691&lt;=G691,I691&lt;=H691,J691&lt;=I691),"OK","Check")</f>
        <v>OK</v>
      </c>
      <c r="P691" s="6">
        <f t="shared" si="71"/>
        <v>4.285904249221641</v>
      </c>
      <c r="Q691" s="6">
        <f t="shared" si="72"/>
        <v>24.382154702043437</v>
      </c>
      <c r="R691" s="6">
        <f t="shared" si="73"/>
        <v>48.354541465555066</v>
      </c>
      <c r="S691" s="6">
        <f t="shared" si="74"/>
        <v>43.103448275862064</v>
      </c>
      <c r="T691" s="6">
        <f t="shared" si="75"/>
        <v>1332.6250572400895</v>
      </c>
      <c r="U691" s="6">
        <f t="shared" si="76"/>
        <v>14.326250572400896</v>
      </c>
    </row>
    <row r="692" spans="1:21" x14ac:dyDescent="0.3">
      <c r="A692" s="2">
        <v>45889</v>
      </c>
      <c r="B692" t="s">
        <v>14</v>
      </c>
      <c r="C692" t="s">
        <v>19</v>
      </c>
      <c r="D692" t="s">
        <v>24</v>
      </c>
      <c r="E692" t="s">
        <v>86</v>
      </c>
      <c r="F692">
        <v>120567</v>
      </c>
      <c r="G692">
        <v>7874</v>
      </c>
      <c r="H692">
        <v>1738</v>
      </c>
      <c r="I692">
        <v>882</v>
      </c>
      <c r="J692">
        <v>513</v>
      </c>
      <c r="K692" s="4">
        <v>85980.89</v>
      </c>
      <c r="L692" s="4">
        <v>2514070.6800000002</v>
      </c>
      <c r="M692" t="s">
        <v>35</v>
      </c>
      <c r="N692">
        <f t="shared" si="70"/>
        <v>1</v>
      </c>
      <c r="O692" t="str">
        <f>IF(AND(G692&lt;=F692,H692&lt;=G692,I692&lt;=H692,J692&lt;=I692),"OK","Check")</f>
        <v>OK</v>
      </c>
      <c r="P692" s="6">
        <f t="shared" si="71"/>
        <v>6.5308085960503286</v>
      </c>
      <c r="Q692" s="6">
        <f t="shared" si="72"/>
        <v>22.07264414528829</v>
      </c>
      <c r="R692" s="6">
        <f t="shared" si="73"/>
        <v>50.747986191024161</v>
      </c>
      <c r="S692" s="6">
        <f t="shared" si="74"/>
        <v>58.163265306122447</v>
      </c>
      <c r="T692" s="6">
        <f t="shared" si="75"/>
        <v>2823.9877372751084</v>
      </c>
      <c r="U692" s="6">
        <f t="shared" si="76"/>
        <v>29.239877372751085</v>
      </c>
    </row>
    <row r="693" spans="1:21" x14ac:dyDescent="0.3">
      <c r="A693" s="2">
        <v>45890</v>
      </c>
      <c r="B693" t="s">
        <v>14</v>
      </c>
      <c r="C693" t="s">
        <v>19</v>
      </c>
      <c r="D693" t="s">
        <v>24</v>
      </c>
      <c r="E693" t="s">
        <v>86</v>
      </c>
      <c r="F693">
        <v>60672</v>
      </c>
      <c r="G693">
        <v>4419</v>
      </c>
      <c r="H693">
        <v>871</v>
      </c>
      <c r="I693">
        <v>435</v>
      </c>
      <c r="J693">
        <v>245</v>
      </c>
      <c r="K693" s="4">
        <v>51458.58</v>
      </c>
      <c r="L693" s="4">
        <v>887743.91</v>
      </c>
      <c r="M693" t="s">
        <v>33</v>
      </c>
      <c r="N693">
        <f t="shared" si="70"/>
        <v>1</v>
      </c>
      <c r="O693" t="str">
        <f>IF(AND(G693&lt;=F693,H693&lt;=G693,I693&lt;=H693,J693&lt;=I693),"OK","Check")</f>
        <v>OK</v>
      </c>
      <c r="P693" s="6">
        <f t="shared" si="71"/>
        <v>7.2834256329113929</v>
      </c>
      <c r="Q693" s="6">
        <f t="shared" si="72"/>
        <v>19.710341706268387</v>
      </c>
      <c r="R693" s="6">
        <f t="shared" si="73"/>
        <v>49.942594718714126</v>
      </c>
      <c r="S693" s="6">
        <f t="shared" si="74"/>
        <v>56.321839080459768</v>
      </c>
      <c r="T693" s="6">
        <f t="shared" si="75"/>
        <v>1625.1620818141505</v>
      </c>
      <c r="U693" s="6">
        <f t="shared" si="76"/>
        <v>17.251620818141504</v>
      </c>
    </row>
    <row r="694" spans="1:21" x14ac:dyDescent="0.3">
      <c r="A694" s="2">
        <v>45891</v>
      </c>
      <c r="B694" t="s">
        <v>14</v>
      </c>
      <c r="C694" t="s">
        <v>19</v>
      </c>
      <c r="D694" t="s">
        <v>24</v>
      </c>
      <c r="E694" t="s">
        <v>86</v>
      </c>
      <c r="F694">
        <v>100402</v>
      </c>
      <c r="G694">
        <v>5050</v>
      </c>
      <c r="H694">
        <v>816</v>
      </c>
      <c r="I694">
        <v>428</v>
      </c>
      <c r="J694">
        <v>214</v>
      </c>
      <c r="K694" s="4">
        <v>59444.37</v>
      </c>
      <c r="L694" s="4">
        <v>833256.71</v>
      </c>
      <c r="M694" t="s">
        <v>32</v>
      </c>
      <c r="N694">
        <f t="shared" si="70"/>
        <v>1</v>
      </c>
      <c r="O694" t="str">
        <f>IF(AND(G694&lt;=F694,H694&lt;=G694,I694&lt;=H694,J694&lt;=I694),"OK","Check")</f>
        <v>OK</v>
      </c>
      <c r="P694" s="6">
        <f t="shared" si="71"/>
        <v>5.0297802832612897</v>
      </c>
      <c r="Q694" s="6">
        <f t="shared" si="72"/>
        <v>16.158415841584159</v>
      </c>
      <c r="R694" s="6">
        <f t="shared" si="73"/>
        <v>52.450980392156865</v>
      </c>
      <c r="S694" s="6">
        <f t="shared" si="74"/>
        <v>50</v>
      </c>
      <c r="T694" s="6">
        <f t="shared" si="75"/>
        <v>1301.7420152657012</v>
      </c>
      <c r="U694" s="6">
        <f t="shared" si="76"/>
        <v>14.017420152657012</v>
      </c>
    </row>
    <row r="695" spans="1:21" x14ac:dyDescent="0.3">
      <c r="A695" s="2">
        <v>45892</v>
      </c>
      <c r="B695" t="s">
        <v>14</v>
      </c>
      <c r="C695" t="s">
        <v>19</v>
      </c>
      <c r="D695" t="s">
        <v>24</v>
      </c>
      <c r="E695" t="s">
        <v>86</v>
      </c>
      <c r="F695">
        <v>182510</v>
      </c>
      <c r="G695">
        <v>10026</v>
      </c>
      <c r="H695">
        <v>2101</v>
      </c>
      <c r="I695">
        <v>1067</v>
      </c>
      <c r="J695">
        <v>537</v>
      </c>
      <c r="K695" s="4">
        <v>125713.35</v>
      </c>
      <c r="L695" s="4">
        <v>3892044.05</v>
      </c>
      <c r="M695" t="s">
        <v>35</v>
      </c>
      <c r="N695">
        <f t="shared" si="70"/>
        <v>1</v>
      </c>
      <c r="O695" t="str">
        <f>IF(AND(G695&lt;=F695,H695&lt;=G695,I695&lt;=H695,J695&lt;=I695),"OK","Check")</f>
        <v>OK</v>
      </c>
      <c r="P695" s="6">
        <f t="shared" si="71"/>
        <v>5.4933976220481062</v>
      </c>
      <c r="Q695" s="6">
        <f t="shared" si="72"/>
        <v>20.955515659285854</v>
      </c>
      <c r="R695" s="6">
        <f t="shared" si="73"/>
        <v>50.785340314136128</v>
      </c>
      <c r="S695" s="6">
        <f t="shared" si="74"/>
        <v>50.328022492970945</v>
      </c>
      <c r="T695" s="6">
        <f t="shared" si="75"/>
        <v>2995.9671745284008</v>
      </c>
      <c r="U695" s="6">
        <f t="shared" si="76"/>
        <v>30.959671745284009</v>
      </c>
    </row>
    <row r="696" spans="1:21" x14ac:dyDescent="0.3">
      <c r="A696" s="2">
        <v>45893</v>
      </c>
      <c r="B696" t="s">
        <v>14</v>
      </c>
      <c r="C696" t="s">
        <v>19</v>
      </c>
      <c r="D696" t="s">
        <v>24</v>
      </c>
      <c r="E696" t="s">
        <v>86</v>
      </c>
      <c r="F696">
        <v>91784</v>
      </c>
      <c r="G696">
        <v>5762</v>
      </c>
      <c r="H696">
        <v>1342</v>
      </c>
      <c r="I696">
        <v>834</v>
      </c>
      <c r="J696">
        <v>453</v>
      </c>
      <c r="K696" s="4">
        <v>53692.75</v>
      </c>
      <c r="L696" s="4">
        <v>2444731.5</v>
      </c>
      <c r="M696" t="s">
        <v>35</v>
      </c>
      <c r="N696">
        <f t="shared" si="70"/>
        <v>1</v>
      </c>
      <c r="O696" t="str">
        <f>IF(AND(G696&lt;=F696,H696&lt;=G696,I696&lt;=H696,J696&lt;=I696),"OK","Check")</f>
        <v>OK</v>
      </c>
      <c r="P696" s="6">
        <f t="shared" si="71"/>
        <v>6.2777826200644995</v>
      </c>
      <c r="Q696" s="6">
        <f t="shared" si="72"/>
        <v>23.290524123568204</v>
      </c>
      <c r="R696" s="6">
        <f t="shared" si="73"/>
        <v>62.14605067064084</v>
      </c>
      <c r="S696" s="6">
        <f t="shared" si="74"/>
        <v>54.316546762589923</v>
      </c>
      <c r="T696" s="6">
        <f t="shared" si="75"/>
        <v>4453.1873483850241</v>
      </c>
      <c r="U696" s="6">
        <f t="shared" si="76"/>
        <v>45.531873483850241</v>
      </c>
    </row>
    <row r="697" spans="1:21" x14ac:dyDescent="0.3">
      <c r="A697" s="2">
        <v>45894</v>
      </c>
      <c r="B697" t="s">
        <v>14</v>
      </c>
      <c r="C697" t="s">
        <v>19</v>
      </c>
      <c r="D697" t="s">
        <v>24</v>
      </c>
      <c r="E697" t="s">
        <v>86</v>
      </c>
      <c r="F697">
        <v>277958</v>
      </c>
      <c r="G697">
        <v>10817</v>
      </c>
      <c r="H697">
        <v>2519</v>
      </c>
      <c r="I697">
        <v>1222</v>
      </c>
      <c r="J697">
        <v>546</v>
      </c>
      <c r="K697" s="4">
        <v>258352.11</v>
      </c>
      <c r="L697" s="4">
        <v>3167583.01</v>
      </c>
      <c r="M697" t="s">
        <v>34</v>
      </c>
      <c r="N697">
        <f t="shared" si="70"/>
        <v>1</v>
      </c>
      <c r="O697" t="str">
        <f>IF(AND(G697&lt;=F697,H697&lt;=G697,I697&lt;=H697,J697&lt;=I697),"OK","Check")</f>
        <v>OK</v>
      </c>
      <c r="P697" s="6">
        <f t="shared" si="71"/>
        <v>3.8915951330776593</v>
      </c>
      <c r="Q697" s="6">
        <f t="shared" si="72"/>
        <v>23.28741795322178</v>
      </c>
      <c r="R697" s="6">
        <f t="shared" si="73"/>
        <v>48.511314013497419</v>
      </c>
      <c r="S697" s="6">
        <f t="shared" si="74"/>
        <v>44.680851063829785</v>
      </c>
      <c r="T697" s="6">
        <f t="shared" si="75"/>
        <v>1126.0720494986474</v>
      </c>
      <c r="U697" s="6">
        <f t="shared" si="76"/>
        <v>12.260720494986474</v>
      </c>
    </row>
    <row r="698" spans="1:21" x14ac:dyDescent="0.3">
      <c r="A698" s="2">
        <v>45895</v>
      </c>
      <c r="B698" t="s">
        <v>14</v>
      </c>
      <c r="C698" t="s">
        <v>19</v>
      </c>
      <c r="D698" t="s">
        <v>24</v>
      </c>
      <c r="E698" t="s">
        <v>86</v>
      </c>
      <c r="F698">
        <v>192183</v>
      </c>
      <c r="G698">
        <v>10955</v>
      </c>
      <c r="H698">
        <v>1911</v>
      </c>
      <c r="I698">
        <v>982</v>
      </c>
      <c r="J698">
        <v>531</v>
      </c>
      <c r="K698" s="4">
        <v>99989.22</v>
      </c>
      <c r="L698" s="4">
        <v>2721879.68</v>
      </c>
      <c r="M698" t="s">
        <v>32</v>
      </c>
      <c r="N698">
        <f t="shared" si="70"/>
        <v>1</v>
      </c>
      <c r="O698" t="str">
        <f>IF(AND(G698&lt;=F698,H698&lt;=G698,I698&lt;=H698,J698&lt;=I698),"OK","Check")</f>
        <v>OK</v>
      </c>
      <c r="P698" s="6">
        <f t="shared" si="71"/>
        <v>5.7002960719730673</v>
      </c>
      <c r="Q698" s="6">
        <f t="shared" si="72"/>
        <v>17.444089456869012</v>
      </c>
      <c r="R698" s="6">
        <f t="shared" si="73"/>
        <v>51.386708529565674</v>
      </c>
      <c r="S698" s="6">
        <f t="shared" si="74"/>
        <v>54.073319755600814</v>
      </c>
      <c r="T698" s="6">
        <f t="shared" si="75"/>
        <v>2622.1731302634425</v>
      </c>
      <c r="U698" s="6">
        <f t="shared" si="76"/>
        <v>27.221731302634424</v>
      </c>
    </row>
    <row r="699" spans="1:21" x14ac:dyDescent="0.3">
      <c r="A699" s="2">
        <v>45896</v>
      </c>
      <c r="B699" t="s">
        <v>14</v>
      </c>
      <c r="C699" t="s">
        <v>19</v>
      </c>
      <c r="D699" t="s">
        <v>24</v>
      </c>
      <c r="E699" t="s">
        <v>86</v>
      </c>
      <c r="F699">
        <v>263391</v>
      </c>
      <c r="G699">
        <v>15760</v>
      </c>
      <c r="H699">
        <v>2389</v>
      </c>
      <c r="I699">
        <v>1303</v>
      </c>
      <c r="J699">
        <v>686</v>
      </c>
      <c r="K699" s="4">
        <v>138918.72</v>
      </c>
      <c r="L699" s="4">
        <v>3426291.48</v>
      </c>
      <c r="M699" t="s">
        <v>34</v>
      </c>
      <c r="N699">
        <f t="shared" si="70"/>
        <v>1</v>
      </c>
      <c r="O699" t="str">
        <f>IF(AND(G699&lt;=F699,H699&lt;=G699,I699&lt;=H699,J699&lt;=I699),"OK","Check")</f>
        <v>OK</v>
      </c>
      <c r="P699" s="6">
        <f t="shared" si="71"/>
        <v>5.9834998158631088</v>
      </c>
      <c r="Q699" s="6">
        <f t="shared" si="72"/>
        <v>15.158629441624367</v>
      </c>
      <c r="R699" s="6">
        <f t="shared" si="73"/>
        <v>54.541649225617419</v>
      </c>
      <c r="S699" s="6">
        <f t="shared" si="74"/>
        <v>52.647735993860323</v>
      </c>
      <c r="T699" s="6">
        <f t="shared" si="75"/>
        <v>2366.4001223161281</v>
      </c>
      <c r="U699" s="6">
        <f t="shared" si="76"/>
        <v>24.664001223161286</v>
      </c>
    </row>
    <row r="700" spans="1:21" x14ac:dyDescent="0.3">
      <c r="A700" s="2">
        <v>45897</v>
      </c>
      <c r="B700" t="s">
        <v>14</v>
      </c>
      <c r="C700" t="s">
        <v>19</v>
      </c>
      <c r="D700" t="s">
        <v>24</v>
      </c>
      <c r="E700" t="s">
        <v>86</v>
      </c>
      <c r="F700">
        <v>272021</v>
      </c>
      <c r="G700">
        <v>16255</v>
      </c>
      <c r="H700">
        <v>3053</v>
      </c>
      <c r="I700">
        <v>1496</v>
      </c>
      <c r="J700">
        <v>719</v>
      </c>
      <c r="K700" s="4">
        <v>201326.36</v>
      </c>
      <c r="L700" s="4">
        <v>2668478.92</v>
      </c>
      <c r="M700" t="s">
        <v>31</v>
      </c>
      <c r="N700">
        <f t="shared" si="70"/>
        <v>1</v>
      </c>
      <c r="O700" t="str">
        <f>IF(AND(G700&lt;=F700,H700&lt;=G700,I700&lt;=H700,J700&lt;=I700),"OK","Check")</f>
        <v>OK</v>
      </c>
      <c r="P700" s="6">
        <f t="shared" si="71"/>
        <v>5.9756415864951604</v>
      </c>
      <c r="Q700" s="6">
        <f t="shared" si="72"/>
        <v>18.781913257459244</v>
      </c>
      <c r="R700" s="6">
        <f t="shared" si="73"/>
        <v>49.000982640026201</v>
      </c>
      <c r="S700" s="6">
        <f t="shared" si="74"/>
        <v>48.061497326203209</v>
      </c>
      <c r="T700" s="6">
        <f t="shared" si="75"/>
        <v>1225.4493450336063</v>
      </c>
      <c r="U700" s="6">
        <f t="shared" si="76"/>
        <v>13.254493450336062</v>
      </c>
    </row>
    <row r="701" spans="1:21" x14ac:dyDescent="0.3">
      <c r="A701" s="2">
        <v>45898</v>
      </c>
      <c r="B701" t="s">
        <v>14</v>
      </c>
      <c r="C701" t="s">
        <v>19</v>
      </c>
      <c r="D701" t="s">
        <v>24</v>
      </c>
      <c r="E701" t="s">
        <v>86</v>
      </c>
      <c r="F701">
        <v>156442</v>
      </c>
      <c r="G701">
        <v>5047</v>
      </c>
      <c r="H701">
        <v>1081</v>
      </c>
      <c r="I701">
        <v>616</v>
      </c>
      <c r="J701">
        <v>364</v>
      </c>
      <c r="K701" s="4">
        <v>81569.7</v>
      </c>
      <c r="L701" s="4">
        <v>1780402.59</v>
      </c>
      <c r="M701" t="s">
        <v>33</v>
      </c>
      <c r="N701">
        <f t="shared" si="70"/>
        <v>1</v>
      </c>
      <c r="O701" t="str">
        <f>IF(AND(G701&lt;=F701,H701&lt;=G701,I701&lt;=H701,J701&lt;=I701),"OK","Check")</f>
        <v>OK</v>
      </c>
      <c r="P701" s="6">
        <f t="shared" si="71"/>
        <v>3.2261157489676688</v>
      </c>
      <c r="Q701" s="6">
        <f t="shared" si="72"/>
        <v>21.418664553199921</v>
      </c>
      <c r="R701" s="6">
        <f t="shared" si="73"/>
        <v>56.984273820536536</v>
      </c>
      <c r="S701" s="6">
        <f t="shared" si="74"/>
        <v>59.090909090909093</v>
      </c>
      <c r="T701" s="6">
        <f t="shared" si="75"/>
        <v>2082.6763982213988</v>
      </c>
      <c r="U701" s="6">
        <f t="shared" si="76"/>
        <v>21.826763982213986</v>
      </c>
    </row>
    <row r="702" spans="1:21" x14ac:dyDescent="0.3">
      <c r="A702" s="2">
        <v>45899</v>
      </c>
      <c r="B702" t="s">
        <v>14</v>
      </c>
      <c r="C702" t="s">
        <v>19</v>
      </c>
      <c r="D702" t="s">
        <v>24</v>
      </c>
      <c r="E702" t="s">
        <v>86</v>
      </c>
      <c r="F702">
        <v>247071</v>
      </c>
      <c r="G702">
        <v>14991</v>
      </c>
      <c r="H702">
        <v>3641</v>
      </c>
      <c r="I702">
        <v>1717</v>
      </c>
      <c r="J702">
        <v>746</v>
      </c>
      <c r="K702" s="4">
        <v>196671.42</v>
      </c>
      <c r="L702" s="4">
        <v>5676011.4400000004</v>
      </c>
      <c r="M702" t="s">
        <v>33</v>
      </c>
      <c r="N702">
        <f t="shared" si="70"/>
        <v>1</v>
      </c>
      <c r="O702" t="str">
        <f>IF(AND(G702&lt;=F702,H702&lt;=G702,I702&lt;=H702,J702&lt;=I702),"OK","Check")</f>
        <v>OK</v>
      </c>
      <c r="P702" s="6">
        <f t="shared" si="71"/>
        <v>6.0674866738710733</v>
      </c>
      <c r="Q702" s="6">
        <f t="shared" si="72"/>
        <v>24.287906076979521</v>
      </c>
      <c r="R702" s="6">
        <f t="shared" si="73"/>
        <v>47.157374347706678</v>
      </c>
      <c r="S702" s="6">
        <f t="shared" si="74"/>
        <v>43.447874199184625</v>
      </c>
      <c r="T702" s="6">
        <f t="shared" si="75"/>
        <v>2786.0377577992776</v>
      </c>
      <c r="U702" s="6">
        <f t="shared" si="76"/>
        <v>28.860377577992775</v>
      </c>
    </row>
    <row r="703" spans="1:21" x14ac:dyDescent="0.3">
      <c r="A703" s="2">
        <v>45900</v>
      </c>
      <c r="B703" t="s">
        <v>14</v>
      </c>
      <c r="C703" t="s">
        <v>19</v>
      </c>
      <c r="D703" t="s">
        <v>24</v>
      </c>
      <c r="E703" t="s">
        <v>86</v>
      </c>
      <c r="F703">
        <v>250143</v>
      </c>
      <c r="G703">
        <v>13827</v>
      </c>
      <c r="H703">
        <v>2421</v>
      </c>
      <c r="I703">
        <v>1432</v>
      </c>
      <c r="J703">
        <v>812</v>
      </c>
      <c r="K703" s="4">
        <v>246806.14</v>
      </c>
      <c r="L703" s="4">
        <v>4206184.57</v>
      </c>
      <c r="M703" t="s">
        <v>35</v>
      </c>
      <c r="N703">
        <f t="shared" si="70"/>
        <v>1</v>
      </c>
      <c r="O703" t="str">
        <f>IF(AND(G703&lt;=F703,H703&lt;=G703,I703&lt;=H703,J703&lt;=I703),"OK","Check")</f>
        <v>OK</v>
      </c>
      <c r="P703" s="6">
        <f t="shared" si="71"/>
        <v>5.5276381909547743</v>
      </c>
      <c r="Q703" s="6">
        <f t="shared" si="72"/>
        <v>17.509221089173359</v>
      </c>
      <c r="R703" s="6">
        <f t="shared" si="73"/>
        <v>59.149111937216027</v>
      </c>
      <c r="S703" s="6">
        <f t="shared" si="74"/>
        <v>56.703910614525142</v>
      </c>
      <c r="T703" s="6">
        <f t="shared" si="75"/>
        <v>1604.2463246659911</v>
      </c>
      <c r="U703" s="6">
        <f t="shared" si="76"/>
        <v>17.04246324665991</v>
      </c>
    </row>
    <row r="704" spans="1:21" x14ac:dyDescent="0.3">
      <c r="A704" s="2">
        <v>45901</v>
      </c>
      <c r="B704" t="s">
        <v>14</v>
      </c>
      <c r="C704" t="s">
        <v>19</v>
      </c>
      <c r="D704" t="s">
        <v>24</v>
      </c>
      <c r="E704" t="s">
        <v>86</v>
      </c>
      <c r="F704">
        <v>107058</v>
      </c>
      <c r="G704">
        <v>3243</v>
      </c>
      <c r="H704">
        <v>768</v>
      </c>
      <c r="I704">
        <v>451</v>
      </c>
      <c r="J704">
        <v>183</v>
      </c>
      <c r="K704" s="4">
        <v>93964.07</v>
      </c>
      <c r="L704" s="4">
        <v>1201913.08</v>
      </c>
      <c r="M704" t="s">
        <v>32</v>
      </c>
      <c r="N704">
        <f t="shared" si="70"/>
        <v>1</v>
      </c>
      <c r="O704" t="str">
        <f>IF(AND(G704&lt;=F704,H704&lt;=G704,I704&lt;=H704,J704&lt;=I704),"OK","Check")</f>
        <v>OK</v>
      </c>
      <c r="P704" s="6">
        <f t="shared" si="71"/>
        <v>3.0291991257075606</v>
      </c>
      <c r="Q704" s="6">
        <f t="shared" si="72"/>
        <v>23.681776133209993</v>
      </c>
      <c r="R704" s="6">
        <f t="shared" si="73"/>
        <v>58.723958333333336</v>
      </c>
      <c r="S704" s="6">
        <f t="shared" si="74"/>
        <v>40.576496674057651</v>
      </c>
      <c r="T704" s="6">
        <f t="shared" si="75"/>
        <v>1179.1198593249526</v>
      </c>
      <c r="U704" s="6">
        <f t="shared" si="76"/>
        <v>12.791198593249526</v>
      </c>
    </row>
    <row r="705" spans="1:21" x14ac:dyDescent="0.3">
      <c r="A705" s="2">
        <v>45902</v>
      </c>
      <c r="B705" t="s">
        <v>14</v>
      </c>
      <c r="C705" t="s">
        <v>19</v>
      </c>
      <c r="D705" t="s">
        <v>24</v>
      </c>
      <c r="E705" t="s">
        <v>86</v>
      </c>
      <c r="F705">
        <v>70747</v>
      </c>
      <c r="G705">
        <v>4626</v>
      </c>
      <c r="H705">
        <v>1107</v>
      </c>
      <c r="I705">
        <v>534</v>
      </c>
      <c r="J705">
        <v>275</v>
      </c>
      <c r="K705" s="4">
        <v>61069.08</v>
      </c>
      <c r="L705" s="4">
        <v>943623.62</v>
      </c>
      <c r="M705" t="s">
        <v>32</v>
      </c>
      <c r="N705">
        <f t="shared" si="70"/>
        <v>1</v>
      </c>
      <c r="O705" t="str">
        <f>IF(AND(G705&lt;=F705,H705&lt;=G705,I705&lt;=H705,J705&lt;=I705),"OK","Check")</f>
        <v>OK</v>
      </c>
      <c r="P705" s="6">
        <f t="shared" si="71"/>
        <v>6.5387931643744608</v>
      </c>
      <c r="Q705" s="6">
        <f t="shared" si="72"/>
        <v>23.929961089494164</v>
      </c>
      <c r="R705" s="6">
        <f t="shared" si="73"/>
        <v>48.238482384823847</v>
      </c>
      <c r="S705" s="6">
        <f t="shared" si="74"/>
        <v>51.49812734082397</v>
      </c>
      <c r="T705" s="6">
        <f t="shared" si="75"/>
        <v>1445.1741208480626</v>
      </c>
      <c r="U705" s="6">
        <f t="shared" si="76"/>
        <v>15.451741208480625</v>
      </c>
    </row>
    <row r="706" spans="1:21" x14ac:dyDescent="0.3">
      <c r="A706" s="2">
        <v>45903</v>
      </c>
      <c r="B706" t="s">
        <v>14</v>
      </c>
      <c r="C706" t="s">
        <v>19</v>
      </c>
      <c r="D706" t="s">
        <v>24</v>
      </c>
      <c r="E706" t="s">
        <v>86</v>
      </c>
      <c r="F706">
        <v>239227</v>
      </c>
      <c r="G706">
        <v>14680</v>
      </c>
      <c r="H706">
        <v>3320</v>
      </c>
      <c r="I706">
        <v>1838</v>
      </c>
      <c r="J706">
        <v>874</v>
      </c>
      <c r="K706" s="4">
        <v>144170.21</v>
      </c>
      <c r="L706" s="4">
        <v>6122970.7599999998</v>
      </c>
      <c r="M706" t="s">
        <v>31</v>
      </c>
      <c r="N706">
        <f t="shared" si="70"/>
        <v>1</v>
      </c>
      <c r="O706" t="str">
        <f>IF(AND(G706&lt;=F706,H706&lt;=G706,I706&lt;=H706,J706&lt;=I706),"OK","Check")</f>
        <v>OK</v>
      </c>
      <c r="P706" s="6">
        <f t="shared" si="71"/>
        <v>6.1364310884640947</v>
      </c>
      <c r="Q706" s="6">
        <f t="shared" si="72"/>
        <v>22.615803814713896</v>
      </c>
      <c r="R706" s="6">
        <f t="shared" si="73"/>
        <v>55.361445783132538</v>
      </c>
      <c r="S706" s="6">
        <f t="shared" si="74"/>
        <v>47.551686615886837</v>
      </c>
      <c r="T706" s="6">
        <f t="shared" si="75"/>
        <v>4147.0429640076136</v>
      </c>
      <c r="U706" s="6">
        <f t="shared" si="76"/>
        <v>42.470429640076134</v>
      </c>
    </row>
    <row r="707" spans="1:21" x14ac:dyDescent="0.3">
      <c r="A707" s="2">
        <v>45904</v>
      </c>
      <c r="B707" t="s">
        <v>14</v>
      </c>
      <c r="C707" t="s">
        <v>19</v>
      </c>
      <c r="D707" t="s">
        <v>24</v>
      </c>
      <c r="E707" t="s">
        <v>86</v>
      </c>
      <c r="F707">
        <v>205200</v>
      </c>
      <c r="G707">
        <v>14587</v>
      </c>
      <c r="H707">
        <v>2970</v>
      </c>
      <c r="I707">
        <v>1688</v>
      </c>
      <c r="J707">
        <v>853</v>
      </c>
      <c r="K707" s="4">
        <v>110816.95</v>
      </c>
      <c r="L707" s="4">
        <v>5569954.6600000001</v>
      </c>
      <c r="M707" t="s">
        <v>35</v>
      </c>
      <c r="N707">
        <f t="shared" ref="N707:N764" si="77">COUNTIFS(A:A,A707,B:B,B707,C:C,C707,D:D,D707,E:E,E707,F:F,F707,G:G,G707,H:H,H707,I:I,I707,J:J,J707,K:K,K707,L:L,L707,M:M,M707)</f>
        <v>1</v>
      </c>
      <c r="O707" t="str">
        <f>IF(AND(G707&lt;=F707,H707&lt;=G707,I707&lt;=H707,J707&lt;=I707),"OK","Check")</f>
        <v>OK</v>
      </c>
      <c r="P707" s="6">
        <f t="shared" ref="P707:P764" si="78">IFERROR(G707/F707*100,0)</f>
        <v>7.1086744639376214</v>
      </c>
      <c r="Q707" s="6">
        <f t="shared" ref="Q707:Q764" si="79">IFERROR(H707/G707*100,0)</f>
        <v>20.360595050387332</v>
      </c>
      <c r="R707" s="6">
        <f t="shared" ref="R707:R764" si="80">IFERROR(I707/H707*100,0)</f>
        <v>56.835016835016837</v>
      </c>
      <c r="S707" s="6">
        <f t="shared" ref="S707:S764" si="81">IFERROR(J707/I707*100,0)</f>
        <v>50.533175355450233</v>
      </c>
      <c r="T707" s="6">
        <f t="shared" ref="T707:T764" si="82">IFERROR((L707-K707)/K707*100,0)</f>
        <v>4926.265981873712</v>
      </c>
      <c r="U707" s="6">
        <f t="shared" ref="U707:U764" si="83">IFERROR(L707/K707,0)</f>
        <v>50.26265981873712</v>
      </c>
    </row>
    <row r="708" spans="1:21" x14ac:dyDescent="0.3">
      <c r="A708" s="2">
        <v>45905</v>
      </c>
      <c r="B708" t="s">
        <v>14</v>
      </c>
      <c r="C708" t="s">
        <v>19</v>
      </c>
      <c r="D708" t="s">
        <v>24</v>
      </c>
      <c r="E708" t="s">
        <v>86</v>
      </c>
      <c r="F708">
        <v>281976</v>
      </c>
      <c r="G708">
        <v>15138</v>
      </c>
      <c r="H708">
        <v>3583</v>
      </c>
      <c r="I708">
        <v>1682</v>
      </c>
      <c r="J708">
        <v>882</v>
      </c>
      <c r="K708" s="4">
        <v>184334.8</v>
      </c>
      <c r="L708" s="4">
        <v>5829281.5499999998</v>
      </c>
      <c r="M708" t="s">
        <v>32</v>
      </c>
      <c r="N708">
        <f t="shared" si="77"/>
        <v>1</v>
      </c>
      <c r="O708" t="str">
        <f>IF(AND(G708&lt;=F708,H708&lt;=G708,I708&lt;=H708,J708&lt;=I708),"OK","Check")</f>
        <v>OK</v>
      </c>
      <c r="P708" s="6">
        <f t="shared" si="78"/>
        <v>5.3685420035747722</v>
      </c>
      <c r="Q708" s="6">
        <f t="shared" si="79"/>
        <v>23.668912670101729</v>
      </c>
      <c r="R708" s="6">
        <f t="shared" si="80"/>
        <v>46.943901758303099</v>
      </c>
      <c r="S708" s="6">
        <f t="shared" si="81"/>
        <v>52.437574316290124</v>
      </c>
      <c r="T708" s="6">
        <f t="shared" si="82"/>
        <v>3062.3337264585962</v>
      </c>
      <c r="U708" s="6">
        <f t="shared" si="83"/>
        <v>31.62333726458596</v>
      </c>
    </row>
    <row r="709" spans="1:21" x14ac:dyDescent="0.3">
      <c r="A709" s="2">
        <v>45906</v>
      </c>
      <c r="B709" t="s">
        <v>14</v>
      </c>
      <c r="C709" t="s">
        <v>19</v>
      </c>
      <c r="D709" t="s">
        <v>24</v>
      </c>
      <c r="E709" t="s">
        <v>86</v>
      </c>
      <c r="F709">
        <v>137599</v>
      </c>
      <c r="G709">
        <v>10631</v>
      </c>
      <c r="H709">
        <v>2329</v>
      </c>
      <c r="I709">
        <v>1429</v>
      </c>
      <c r="J709">
        <v>624</v>
      </c>
      <c r="K709" s="4">
        <v>116671.7</v>
      </c>
      <c r="L709" s="4">
        <v>1995280.37</v>
      </c>
      <c r="M709" t="s">
        <v>31</v>
      </c>
      <c r="N709">
        <f t="shared" si="77"/>
        <v>1</v>
      </c>
      <c r="O709" t="str">
        <f>IF(AND(G709&lt;=F709,H709&lt;=G709,I709&lt;=H709,J709&lt;=I709),"OK","Check")</f>
        <v>OK</v>
      </c>
      <c r="P709" s="6">
        <f t="shared" si="78"/>
        <v>7.7260735906510947</v>
      </c>
      <c r="Q709" s="6">
        <f t="shared" si="79"/>
        <v>21.907628633242403</v>
      </c>
      <c r="R709" s="6">
        <f t="shared" si="80"/>
        <v>61.356805495920995</v>
      </c>
      <c r="S709" s="6">
        <f t="shared" si="81"/>
        <v>43.666899930020989</v>
      </c>
      <c r="T709" s="6">
        <f t="shared" si="82"/>
        <v>1610.1665356723186</v>
      </c>
      <c r="U709" s="6">
        <f t="shared" si="83"/>
        <v>17.101665356723181</v>
      </c>
    </row>
    <row r="710" spans="1:21" x14ac:dyDescent="0.3">
      <c r="A710" s="2">
        <v>45907</v>
      </c>
      <c r="B710" t="s">
        <v>14</v>
      </c>
      <c r="C710" t="s">
        <v>19</v>
      </c>
      <c r="D710" t="s">
        <v>24</v>
      </c>
      <c r="E710" t="s">
        <v>86</v>
      </c>
      <c r="F710">
        <v>197813</v>
      </c>
      <c r="G710">
        <v>9162</v>
      </c>
      <c r="H710">
        <v>1467</v>
      </c>
      <c r="I710">
        <v>664</v>
      </c>
      <c r="J710">
        <v>331</v>
      </c>
      <c r="K710" s="4">
        <v>126646.91</v>
      </c>
      <c r="L710" s="4">
        <v>2242704.0299999998</v>
      </c>
      <c r="M710" t="s">
        <v>33</v>
      </c>
      <c r="N710">
        <f t="shared" si="77"/>
        <v>1</v>
      </c>
      <c r="O710" t="str">
        <f>IF(AND(G710&lt;=F710,H710&lt;=G710,I710&lt;=H710,J710&lt;=I710),"OK","Check")</f>
        <v>OK</v>
      </c>
      <c r="P710" s="6">
        <f t="shared" si="78"/>
        <v>4.6316470606077456</v>
      </c>
      <c r="Q710" s="6">
        <f t="shared" si="79"/>
        <v>16.011787819253438</v>
      </c>
      <c r="R710" s="6">
        <f t="shared" si="80"/>
        <v>45.262440354464893</v>
      </c>
      <c r="S710" s="6">
        <f t="shared" si="81"/>
        <v>49.849397590361441</v>
      </c>
      <c r="T710" s="6">
        <f t="shared" si="82"/>
        <v>1670.8320163516028</v>
      </c>
      <c r="U710" s="6">
        <f t="shared" si="83"/>
        <v>17.708320163516028</v>
      </c>
    </row>
    <row r="711" spans="1:21" x14ac:dyDescent="0.3">
      <c r="A711" s="2">
        <v>45908</v>
      </c>
      <c r="B711" t="s">
        <v>14</v>
      </c>
      <c r="C711" t="s">
        <v>19</v>
      </c>
      <c r="D711" t="s">
        <v>24</v>
      </c>
      <c r="E711" t="s">
        <v>86</v>
      </c>
      <c r="F711">
        <v>183517</v>
      </c>
      <c r="G711">
        <v>8806</v>
      </c>
      <c r="H711">
        <v>1894</v>
      </c>
      <c r="I711">
        <v>1152</v>
      </c>
      <c r="J711">
        <v>607</v>
      </c>
      <c r="K711" s="4">
        <v>156011.44</v>
      </c>
      <c r="L711" s="4">
        <v>3701255.37</v>
      </c>
      <c r="M711" t="s">
        <v>34</v>
      </c>
      <c r="N711">
        <f t="shared" si="77"/>
        <v>1</v>
      </c>
      <c r="O711" t="str">
        <f>IF(AND(G711&lt;=F711,H711&lt;=G711,I711&lt;=H711,J711&lt;=I711),"OK","Check")</f>
        <v>OK</v>
      </c>
      <c r="P711" s="6">
        <f t="shared" si="78"/>
        <v>4.7984655372526799</v>
      </c>
      <c r="Q711" s="6">
        <f t="shared" si="79"/>
        <v>21.508062684533272</v>
      </c>
      <c r="R711" s="6">
        <f t="shared" si="80"/>
        <v>60.823653643083418</v>
      </c>
      <c r="S711" s="6">
        <f t="shared" si="81"/>
        <v>52.690972222222221</v>
      </c>
      <c r="T711" s="6">
        <f t="shared" si="82"/>
        <v>2272.4256182751728</v>
      </c>
      <c r="U711" s="6">
        <f t="shared" si="83"/>
        <v>23.724256182751727</v>
      </c>
    </row>
    <row r="712" spans="1:21" x14ac:dyDescent="0.3">
      <c r="A712" s="2">
        <v>45909</v>
      </c>
      <c r="B712" t="s">
        <v>14</v>
      </c>
      <c r="C712" t="s">
        <v>19</v>
      </c>
      <c r="D712" t="s">
        <v>24</v>
      </c>
      <c r="E712" t="s">
        <v>86</v>
      </c>
      <c r="F712">
        <v>92749</v>
      </c>
      <c r="G712">
        <v>6844</v>
      </c>
      <c r="H712">
        <v>1354</v>
      </c>
      <c r="I712">
        <v>704</v>
      </c>
      <c r="J712">
        <v>396</v>
      </c>
      <c r="K712" s="4">
        <v>68351.570000000007</v>
      </c>
      <c r="L712" s="4">
        <v>1710346.58</v>
      </c>
      <c r="M712" t="s">
        <v>35</v>
      </c>
      <c r="N712">
        <f t="shared" si="77"/>
        <v>1</v>
      </c>
      <c r="O712" t="str">
        <f>IF(AND(G712&lt;=F712,H712&lt;=G712,I712&lt;=H712,J712&lt;=I712),"OK","Check")</f>
        <v>OK</v>
      </c>
      <c r="P712" s="6">
        <f t="shared" si="78"/>
        <v>7.3790552997875984</v>
      </c>
      <c r="Q712" s="6">
        <f t="shared" si="79"/>
        <v>19.78375219170076</v>
      </c>
      <c r="R712" s="6">
        <f t="shared" si="80"/>
        <v>51.994091580502214</v>
      </c>
      <c r="S712" s="6">
        <f t="shared" si="81"/>
        <v>56.25</v>
      </c>
      <c r="T712" s="6">
        <f t="shared" si="82"/>
        <v>2402.2784114541919</v>
      </c>
      <c r="U712" s="6">
        <f t="shared" si="83"/>
        <v>25.022784114541917</v>
      </c>
    </row>
    <row r="713" spans="1:21" x14ac:dyDescent="0.3">
      <c r="A713" s="2">
        <v>45910</v>
      </c>
      <c r="B713" t="s">
        <v>14</v>
      </c>
      <c r="C713" t="s">
        <v>19</v>
      </c>
      <c r="D713" t="s">
        <v>24</v>
      </c>
      <c r="E713" t="s">
        <v>86</v>
      </c>
      <c r="F713">
        <v>242936</v>
      </c>
      <c r="G713">
        <v>9558</v>
      </c>
      <c r="H713">
        <v>1983</v>
      </c>
      <c r="I713">
        <v>1172</v>
      </c>
      <c r="J713">
        <v>687</v>
      </c>
      <c r="K713" s="4">
        <v>221405.22</v>
      </c>
      <c r="L713" s="4">
        <v>3264776.12</v>
      </c>
      <c r="M713" t="s">
        <v>32</v>
      </c>
      <c r="N713">
        <f t="shared" si="77"/>
        <v>1</v>
      </c>
      <c r="O713" t="str">
        <f>IF(AND(G713&lt;=F713,H713&lt;=G713,I713&lt;=H713,J713&lt;=I713),"OK","Check")</f>
        <v>OK</v>
      </c>
      <c r="P713" s="6">
        <f t="shared" si="78"/>
        <v>3.9343695458886287</v>
      </c>
      <c r="Q713" s="6">
        <f t="shared" si="79"/>
        <v>20.747018204645322</v>
      </c>
      <c r="R713" s="6">
        <f t="shared" si="80"/>
        <v>59.102370146243068</v>
      </c>
      <c r="S713" s="6">
        <f t="shared" si="81"/>
        <v>58.617747440273035</v>
      </c>
      <c r="T713" s="6">
        <f t="shared" si="82"/>
        <v>1374.5705272892844</v>
      </c>
      <c r="U713" s="6">
        <f t="shared" si="83"/>
        <v>14.745705272892843</v>
      </c>
    </row>
    <row r="714" spans="1:21" x14ac:dyDescent="0.3">
      <c r="A714" s="2">
        <v>45911</v>
      </c>
      <c r="B714" t="s">
        <v>14</v>
      </c>
      <c r="C714" t="s">
        <v>19</v>
      </c>
      <c r="D714" t="s">
        <v>24</v>
      </c>
      <c r="E714" t="s">
        <v>86</v>
      </c>
      <c r="F714">
        <v>99617</v>
      </c>
      <c r="G714">
        <v>3517</v>
      </c>
      <c r="H714">
        <v>638</v>
      </c>
      <c r="I714">
        <v>340</v>
      </c>
      <c r="J714">
        <v>165</v>
      </c>
      <c r="K714" s="4">
        <v>43282.33</v>
      </c>
      <c r="L714" s="4">
        <v>505160.33</v>
      </c>
      <c r="M714" t="s">
        <v>35</v>
      </c>
      <c r="N714">
        <f t="shared" si="77"/>
        <v>1</v>
      </c>
      <c r="O714" t="str">
        <f>IF(AND(G714&lt;=F714,H714&lt;=G714,I714&lt;=H714,J714&lt;=I714),"OK","Check")</f>
        <v>OK</v>
      </c>
      <c r="P714" s="6">
        <f t="shared" si="78"/>
        <v>3.5305218988726823</v>
      </c>
      <c r="Q714" s="6">
        <f t="shared" si="79"/>
        <v>18.140460619846461</v>
      </c>
      <c r="R714" s="6">
        <f t="shared" si="80"/>
        <v>53.291536050156743</v>
      </c>
      <c r="S714" s="6">
        <f t="shared" si="81"/>
        <v>48.529411764705884</v>
      </c>
      <c r="T714" s="6">
        <f t="shared" si="82"/>
        <v>1067.1283177222667</v>
      </c>
      <c r="U714" s="6">
        <f t="shared" si="83"/>
        <v>11.671283177222668</v>
      </c>
    </row>
    <row r="715" spans="1:21" x14ac:dyDescent="0.3">
      <c r="A715" s="2">
        <v>45912</v>
      </c>
      <c r="B715" t="s">
        <v>14</v>
      </c>
      <c r="C715" t="s">
        <v>19</v>
      </c>
      <c r="D715" t="s">
        <v>24</v>
      </c>
      <c r="E715" t="s">
        <v>86</v>
      </c>
      <c r="F715">
        <v>76637</v>
      </c>
      <c r="G715">
        <v>3191</v>
      </c>
      <c r="H715">
        <v>733</v>
      </c>
      <c r="I715">
        <v>446</v>
      </c>
      <c r="J715">
        <v>203</v>
      </c>
      <c r="K715" s="4">
        <v>74481.25</v>
      </c>
      <c r="L715" s="4">
        <v>656000.98</v>
      </c>
      <c r="M715" t="s">
        <v>31</v>
      </c>
      <c r="N715">
        <f t="shared" si="77"/>
        <v>1</v>
      </c>
      <c r="O715" t="str">
        <f>IF(AND(G715&lt;=F715,H715&lt;=G715,I715&lt;=H715,J715&lt;=I715),"OK","Check")</f>
        <v>OK</v>
      </c>
      <c r="P715" s="6">
        <f t="shared" si="78"/>
        <v>4.1637851168495637</v>
      </c>
      <c r="Q715" s="6">
        <f t="shared" si="79"/>
        <v>22.970855531181446</v>
      </c>
      <c r="R715" s="6">
        <f t="shared" si="80"/>
        <v>60.845839017735337</v>
      </c>
      <c r="S715" s="6">
        <f t="shared" si="81"/>
        <v>45.515695067264573</v>
      </c>
      <c r="T715" s="6">
        <f t="shared" si="82"/>
        <v>780.75989594696648</v>
      </c>
      <c r="U715" s="6">
        <f t="shared" si="83"/>
        <v>8.8075989594696651</v>
      </c>
    </row>
    <row r="716" spans="1:21" x14ac:dyDescent="0.3">
      <c r="A716" s="2">
        <v>45913</v>
      </c>
      <c r="B716" t="s">
        <v>14</v>
      </c>
      <c r="C716" t="s">
        <v>19</v>
      </c>
      <c r="D716" t="s">
        <v>24</v>
      </c>
      <c r="E716" t="s">
        <v>86</v>
      </c>
      <c r="F716">
        <v>166151</v>
      </c>
      <c r="G716">
        <v>7773</v>
      </c>
      <c r="H716">
        <v>1561</v>
      </c>
      <c r="I716">
        <v>853</v>
      </c>
      <c r="J716">
        <v>511</v>
      </c>
      <c r="K716" s="4">
        <v>164748.20000000001</v>
      </c>
      <c r="L716" s="4">
        <v>4031732.04</v>
      </c>
      <c r="M716" t="s">
        <v>35</v>
      </c>
      <c r="N716">
        <f t="shared" si="77"/>
        <v>1</v>
      </c>
      <c r="O716" t="str">
        <f>IF(AND(G716&lt;=F716,H716&lt;=G716,I716&lt;=H716,J716&lt;=I716),"OK","Check")</f>
        <v>OK</v>
      </c>
      <c r="P716" s="6">
        <f t="shared" si="78"/>
        <v>4.6782745815553319</v>
      </c>
      <c r="Q716" s="6">
        <f t="shared" si="79"/>
        <v>20.082336292293839</v>
      </c>
      <c r="R716" s="6">
        <f t="shared" si="80"/>
        <v>54.644458680333116</v>
      </c>
      <c r="S716" s="6">
        <f t="shared" si="81"/>
        <v>59.906213364595537</v>
      </c>
      <c r="T716" s="6">
        <f t="shared" si="82"/>
        <v>2347.2085522026946</v>
      </c>
      <c r="U716" s="6">
        <f t="shared" si="83"/>
        <v>24.472085522026948</v>
      </c>
    </row>
    <row r="717" spans="1:21" x14ac:dyDescent="0.3">
      <c r="A717" s="2">
        <v>45914</v>
      </c>
      <c r="B717" t="s">
        <v>14</v>
      </c>
      <c r="C717" t="s">
        <v>19</v>
      </c>
      <c r="D717" t="s">
        <v>24</v>
      </c>
      <c r="E717" t="s">
        <v>86</v>
      </c>
      <c r="F717">
        <v>107335</v>
      </c>
      <c r="G717">
        <v>5840</v>
      </c>
      <c r="H717">
        <v>883</v>
      </c>
      <c r="I717">
        <v>548</v>
      </c>
      <c r="J717">
        <v>311</v>
      </c>
      <c r="K717" s="4">
        <v>91579.99</v>
      </c>
      <c r="L717" s="4">
        <v>1951223.87</v>
      </c>
      <c r="M717" t="s">
        <v>34</v>
      </c>
      <c r="N717">
        <f t="shared" si="77"/>
        <v>1</v>
      </c>
      <c r="O717" t="str">
        <f>IF(AND(G717&lt;=F717,H717&lt;=G717,I717&lt;=H717,J717&lt;=I717),"OK","Check")</f>
        <v>OK</v>
      </c>
      <c r="P717" s="6">
        <f t="shared" si="78"/>
        <v>5.4409093026505797</v>
      </c>
      <c r="Q717" s="6">
        <f t="shared" si="79"/>
        <v>15.11986301369863</v>
      </c>
      <c r="R717" s="6">
        <f t="shared" si="80"/>
        <v>62.061155152887878</v>
      </c>
      <c r="S717" s="6">
        <f t="shared" si="81"/>
        <v>56.751824817518248</v>
      </c>
      <c r="T717" s="6">
        <f t="shared" si="82"/>
        <v>2030.6224973381195</v>
      </c>
      <c r="U717" s="6">
        <f t="shared" si="83"/>
        <v>21.306224973381195</v>
      </c>
    </row>
    <row r="718" spans="1:21" x14ac:dyDescent="0.3">
      <c r="A718" s="2">
        <v>45915</v>
      </c>
      <c r="B718" t="s">
        <v>14</v>
      </c>
      <c r="C718" t="s">
        <v>19</v>
      </c>
      <c r="D718" t="s">
        <v>24</v>
      </c>
      <c r="E718" t="s">
        <v>86</v>
      </c>
      <c r="F718">
        <v>132078</v>
      </c>
      <c r="G718">
        <v>9148</v>
      </c>
      <c r="H718">
        <v>2250</v>
      </c>
      <c r="I718">
        <v>1070</v>
      </c>
      <c r="J718">
        <v>580</v>
      </c>
      <c r="K718" s="4">
        <v>89794.27</v>
      </c>
      <c r="L718" s="4">
        <v>2201670.15</v>
      </c>
      <c r="M718" t="s">
        <v>32</v>
      </c>
      <c r="N718">
        <f t="shared" si="77"/>
        <v>1</v>
      </c>
      <c r="O718" t="str">
        <f>IF(AND(G718&lt;=F718,H718&lt;=G718,I718&lt;=H718,J718&lt;=I718),"OK","Check")</f>
        <v>OK</v>
      </c>
      <c r="P718" s="6">
        <f t="shared" si="78"/>
        <v>6.9262102696891228</v>
      </c>
      <c r="Q718" s="6">
        <f t="shared" si="79"/>
        <v>24.595540008745083</v>
      </c>
      <c r="R718" s="6">
        <f t="shared" si="80"/>
        <v>47.555555555555557</v>
      </c>
      <c r="S718" s="6">
        <f t="shared" si="81"/>
        <v>54.205607476635507</v>
      </c>
      <c r="T718" s="6">
        <f t="shared" si="82"/>
        <v>2351.904948946074</v>
      </c>
      <c r="U718" s="6">
        <f t="shared" si="83"/>
        <v>24.519049489460741</v>
      </c>
    </row>
    <row r="719" spans="1:21" x14ac:dyDescent="0.3">
      <c r="A719" s="2">
        <v>45916</v>
      </c>
      <c r="B719" t="s">
        <v>14</v>
      </c>
      <c r="C719" t="s">
        <v>19</v>
      </c>
      <c r="D719" t="s">
        <v>24</v>
      </c>
      <c r="E719" t="s">
        <v>86</v>
      </c>
      <c r="F719">
        <v>101493</v>
      </c>
      <c r="G719">
        <v>6771</v>
      </c>
      <c r="H719">
        <v>1085</v>
      </c>
      <c r="I719">
        <v>554</v>
      </c>
      <c r="J719">
        <v>279</v>
      </c>
      <c r="K719" s="4">
        <v>77121.89</v>
      </c>
      <c r="L719" s="4">
        <v>992341.27</v>
      </c>
      <c r="M719" t="s">
        <v>34</v>
      </c>
      <c r="N719">
        <f t="shared" si="77"/>
        <v>1</v>
      </c>
      <c r="O719" t="str">
        <f>IF(AND(G719&lt;=F719,H719&lt;=G719,I719&lt;=H719,J719&lt;=I719),"OK","Check")</f>
        <v>OK</v>
      </c>
      <c r="P719" s="6">
        <f t="shared" si="78"/>
        <v>6.6713960568709165</v>
      </c>
      <c r="Q719" s="6">
        <f t="shared" si="79"/>
        <v>16.024220942253727</v>
      </c>
      <c r="R719" s="6">
        <f t="shared" si="80"/>
        <v>51.059907834101381</v>
      </c>
      <c r="S719" s="6">
        <f t="shared" si="81"/>
        <v>50.361010830324915</v>
      </c>
      <c r="T719" s="6">
        <f t="shared" si="82"/>
        <v>1186.7180381601124</v>
      </c>
      <c r="U719" s="6">
        <f t="shared" si="83"/>
        <v>12.867180381601125</v>
      </c>
    </row>
    <row r="720" spans="1:21" x14ac:dyDescent="0.3">
      <c r="A720" s="2">
        <v>45917</v>
      </c>
      <c r="B720" t="s">
        <v>14</v>
      </c>
      <c r="C720" t="s">
        <v>19</v>
      </c>
      <c r="D720" t="s">
        <v>24</v>
      </c>
      <c r="E720" t="s">
        <v>86</v>
      </c>
      <c r="F720">
        <v>111983</v>
      </c>
      <c r="G720">
        <v>6950</v>
      </c>
      <c r="H720">
        <v>1441</v>
      </c>
      <c r="I720">
        <v>658</v>
      </c>
      <c r="J720">
        <v>268</v>
      </c>
      <c r="K720" s="4">
        <v>90692.09</v>
      </c>
      <c r="L720" s="4">
        <v>1466996.16</v>
      </c>
      <c r="M720" t="s">
        <v>33</v>
      </c>
      <c r="N720">
        <f t="shared" si="77"/>
        <v>1</v>
      </c>
      <c r="O720" t="str">
        <f>IF(AND(G720&lt;=F720,H720&lt;=G720,I720&lt;=H720,J720&lt;=I720),"OK","Check")</f>
        <v>OK</v>
      </c>
      <c r="P720" s="6">
        <f t="shared" si="78"/>
        <v>6.2062991704097943</v>
      </c>
      <c r="Q720" s="6">
        <f t="shared" si="79"/>
        <v>20.733812949640289</v>
      </c>
      <c r="R720" s="6">
        <f t="shared" si="80"/>
        <v>45.662734212352532</v>
      </c>
      <c r="S720" s="6">
        <f t="shared" si="81"/>
        <v>40.729483282674771</v>
      </c>
      <c r="T720" s="6">
        <f t="shared" si="82"/>
        <v>1517.5569004970553</v>
      </c>
      <c r="U720" s="6">
        <f t="shared" si="83"/>
        <v>16.175569004970555</v>
      </c>
    </row>
    <row r="721" spans="1:21" x14ac:dyDescent="0.3">
      <c r="A721" s="2">
        <v>45918</v>
      </c>
      <c r="B721" t="s">
        <v>14</v>
      </c>
      <c r="C721" t="s">
        <v>19</v>
      </c>
      <c r="D721" t="s">
        <v>24</v>
      </c>
      <c r="E721" t="s">
        <v>86</v>
      </c>
      <c r="F721">
        <v>215192</v>
      </c>
      <c r="G721">
        <v>7975</v>
      </c>
      <c r="H721">
        <v>1358</v>
      </c>
      <c r="I721">
        <v>818</v>
      </c>
      <c r="J721">
        <v>362</v>
      </c>
      <c r="K721" s="4">
        <v>93531.85</v>
      </c>
      <c r="L721" s="4">
        <v>2116994.9300000002</v>
      </c>
      <c r="M721" t="s">
        <v>33</v>
      </c>
      <c r="N721">
        <f t="shared" si="77"/>
        <v>1</v>
      </c>
      <c r="O721" t="str">
        <f>IF(AND(G721&lt;=F721,H721&lt;=G721,I721&lt;=H721,J721&lt;=I721),"OK","Check")</f>
        <v>OK</v>
      </c>
      <c r="P721" s="6">
        <f t="shared" si="78"/>
        <v>3.7059927878359789</v>
      </c>
      <c r="Q721" s="6">
        <f t="shared" si="79"/>
        <v>17.028213166144202</v>
      </c>
      <c r="R721" s="6">
        <f t="shared" si="80"/>
        <v>60.235640648011781</v>
      </c>
      <c r="S721" s="6">
        <f t="shared" si="81"/>
        <v>44.254278728606359</v>
      </c>
      <c r="T721" s="6">
        <f t="shared" si="82"/>
        <v>2163.394693893043</v>
      </c>
      <c r="U721" s="6">
        <f t="shared" si="83"/>
        <v>22.633946938930428</v>
      </c>
    </row>
    <row r="722" spans="1:21" x14ac:dyDescent="0.3">
      <c r="A722" s="2">
        <v>45919</v>
      </c>
      <c r="B722" t="s">
        <v>14</v>
      </c>
      <c r="C722" t="s">
        <v>19</v>
      </c>
      <c r="D722" t="s">
        <v>24</v>
      </c>
      <c r="E722" t="s">
        <v>86</v>
      </c>
      <c r="F722">
        <v>261009</v>
      </c>
      <c r="G722">
        <v>19792</v>
      </c>
      <c r="H722">
        <v>4855</v>
      </c>
      <c r="I722">
        <v>2851</v>
      </c>
      <c r="J722">
        <v>1191</v>
      </c>
      <c r="K722" s="4">
        <v>193741.4</v>
      </c>
      <c r="L722" s="4">
        <v>8258758.7300000004</v>
      </c>
      <c r="M722" t="s">
        <v>31</v>
      </c>
      <c r="N722">
        <f t="shared" si="77"/>
        <v>1</v>
      </c>
      <c r="O722" t="str">
        <f>IF(AND(G722&lt;=F722,H722&lt;=G722,I722&lt;=H722,J722&lt;=I722),"OK","Check")</f>
        <v>OK</v>
      </c>
      <c r="P722" s="6">
        <f t="shared" si="78"/>
        <v>7.5828802838216305</v>
      </c>
      <c r="Q722" s="6">
        <f t="shared" si="79"/>
        <v>24.53011317704123</v>
      </c>
      <c r="R722" s="6">
        <f t="shared" si="80"/>
        <v>58.72296601441812</v>
      </c>
      <c r="S722" s="6">
        <f t="shared" si="81"/>
        <v>41.774815854086285</v>
      </c>
      <c r="T722" s="6">
        <f t="shared" si="82"/>
        <v>4162.7743631459252</v>
      </c>
      <c r="U722" s="6">
        <f t="shared" si="83"/>
        <v>42.627743631459261</v>
      </c>
    </row>
    <row r="723" spans="1:21" x14ac:dyDescent="0.3">
      <c r="A723" s="2">
        <v>45920</v>
      </c>
      <c r="B723" t="s">
        <v>14</v>
      </c>
      <c r="C723" t="s">
        <v>19</v>
      </c>
      <c r="D723" t="s">
        <v>24</v>
      </c>
      <c r="E723" t="s">
        <v>86</v>
      </c>
      <c r="F723">
        <v>197776</v>
      </c>
      <c r="G723">
        <v>11695</v>
      </c>
      <c r="H723">
        <v>1855</v>
      </c>
      <c r="I723">
        <v>1099</v>
      </c>
      <c r="J723">
        <v>619</v>
      </c>
      <c r="K723" s="4">
        <v>120118.79</v>
      </c>
      <c r="L723" s="4">
        <v>3111027.07</v>
      </c>
      <c r="M723" t="s">
        <v>31</v>
      </c>
      <c r="N723">
        <f t="shared" si="77"/>
        <v>1</v>
      </c>
      <c r="O723" t="str">
        <f>IF(AND(G723&lt;=F723,H723&lt;=G723,I723&lt;=H723,J723&lt;=I723),"OK","Check")</f>
        <v>OK</v>
      </c>
      <c r="P723" s="6">
        <f t="shared" si="78"/>
        <v>5.9132554000485404</v>
      </c>
      <c r="Q723" s="6">
        <f t="shared" si="79"/>
        <v>15.861479264643011</v>
      </c>
      <c r="R723" s="6">
        <f t="shared" si="80"/>
        <v>59.245283018867923</v>
      </c>
      <c r="S723" s="6">
        <f t="shared" si="81"/>
        <v>56.323930846223838</v>
      </c>
      <c r="T723" s="6">
        <f t="shared" si="82"/>
        <v>2489.9587150353414</v>
      </c>
      <c r="U723" s="6">
        <f t="shared" si="83"/>
        <v>25.899587150353412</v>
      </c>
    </row>
    <row r="724" spans="1:21" x14ac:dyDescent="0.3">
      <c r="A724" s="2">
        <v>45921</v>
      </c>
      <c r="B724" t="s">
        <v>14</v>
      </c>
      <c r="C724" t="s">
        <v>19</v>
      </c>
      <c r="D724" t="s">
        <v>24</v>
      </c>
      <c r="E724" t="s">
        <v>86</v>
      </c>
      <c r="F724">
        <v>272006</v>
      </c>
      <c r="G724">
        <v>16516</v>
      </c>
      <c r="H724">
        <v>2535</v>
      </c>
      <c r="I724">
        <v>1364</v>
      </c>
      <c r="J724">
        <v>637</v>
      </c>
      <c r="K724" s="4">
        <v>121243.02</v>
      </c>
      <c r="L724" s="4">
        <v>4131056.57</v>
      </c>
      <c r="M724" t="s">
        <v>31</v>
      </c>
      <c r="N724">
        <f t="shared" si="77"/>
        <v>1</v>
      </c>
      <c r="O724" t="str">
        <f>IF(AND(G724&lt;=F724,H724&lt;=G724,I724&lt;=H724,J724&lt;=I724),"OK","Check")</f>
        <v>OK</v>
      </c>
      <c r="P724" s="6">
        <f t="shared" si="78"/>
        <v>6.0719248840099116</v>
      </c>
      <c r="Q724" s="6">
        <f t="shared" si="79"/>
        <v>15.348752724630661</v>
      </c>
      <c r="R724" s="6">
        <f t="shared" si="80"/>
        <v>53.806706114398416</v>
      </c>
      <c r="S724" s="6">
        <f t="shared" si="81"/>
        <v>46.700879765395889</v>
      </c>
      <c r="T724" s="6">
        <f t="shared" si="82"/>
        <v>3307.2531103233814</v>
      </c>
      <c r="U724" s="6">
        <f t="shared" si="83"/>
        <v>34.072531103233814</v>
      </c>
    </row>
    <row r="725" spans="1:21" x14ac:dyDescent="0.3">
      <c r="A725" s="2">
        <v>45922</v>
      </c>
      <c r="B725" t="s">
        <v>14</v>
      </c>
      <c r="C725" t="s">
        <v>19</v>
      </c>
      <c r="D725" t="s">
        <v>24</v>
      </c>
      <c r="E725" t="s">
        <v>86</v>
      </c>
      <c r="F725">
        <v>130283</v>
      </c>
      <c r="G725">
        <v>4990</v>
      </c>
      <c r="H725">
        <v>834</v>
      </c>
      <c r="I725">
        <v>405</v>
      </c>
      <c r="J725">
        <v>218</v>
      </c>
      <c r="K725" s="4">
        <v>106682.68</v>
      </c>
      <c r="L725" s="4">
        <v>987967.58</v>
      </c>
      <c r="M725" t="s">
        <v>31</v>
      </c>
      <c r="N725">
        <f t="shared" si="77"/>
        <v>1</v>
      </c>
      <c r="O725" t="str">
        <f>IF(AND(G725&lt;=F725,H725&lt;=G725,I725&lt;=H725,J725&lt;=I725),"OK","Check")</f>
        <v>OK</v>
      </c>
      <c r="P725" s="6">
        <f t="shared" si="78"/>
        <v>3.8301236538919121</v>
      </c>
      <c r="Q725" s="6">
        <f t="shared" si="79"/>
        <v>16.713426853707414</v>
      </c>
      <c r="R725" s="6">
        <f t="shared" si="80"/>
        <v>48.561151079136685</v>
      </c>
      <c r="S725" s="6">
        <f t="shared" si="81"/>
        <v>53.827160493827165</v>
      </c>
      <c r="T725" s="6">
        <f t="shared" si="82"/>
        <v>826.08057840316712</v>
      </c>
      <c r="U725" s="6">
        <f t="shared" si="83"/>
        <v>9.2608057840316729</v>
      </c>
    </row>
    <row r="726" spans="1:21" x14ac:dyDescent="0.3">
      <c r="A726" s="2">
        <v>45923</v>
      </c>
      <c r="B726" t="s">
        <v>14</v>
      </c>
      <c r="C726" t="s">
        <v>19</v>
      </c>
      <c r="D726" t="s">
        <v>24</v>
      </c>
      <c r="E726" t="s">
        <v>86</v>
      </c>
      <c r="F726">
        <v>135555</v>
      </c>
      <c r="G726">
        <v>6016</v>
      </c>
      <c r="H726">
        <v>1132</v>
      </c>
      <c r="I726">
        <v>528</v>
      </c>
      <c r="J726">
        <v>291</v>
      </c>
      <c r="K726" s="4">
        <v>61223.53</v>
      </c>
      <c r="L726" s="4">
        <v>2126629.7599999998</v>
      </c>
      <c r="M726" t="s">
        <v>33</v>
      </c>
      <c r="N726">
        <f t="shared" si="77"/>
        <v>1</v>
      </c>
      <c r="O726" t="str">
        <f>IF(AND(G726&lt;=F726,H726&lt;=G726,I726&lt;=H726,J726&lt;=I726),"OK","Check")</f>
        <v>OK</v>
      </c>
      <c r="P726" s="6">
        <f t="shared" si="78"/>
        <v>4.4380509756187525</v>
      </c>
      <c r="Q726" s="6">
        <f t="shared" si="79"/>
        <v>18.816489361702125</v>
      </c>
      <c r="R726" s="6">
        <f t="shared" si="80"/>
        <v>46.64310954063604</v>
      </c>
      <c r="S726" s="6">
        <f t="shared" si="81"/>
        <v>55.113636363636367</v>
      </c>
      <c r="T726" s="6">
        <f t="shared" si="82"/>
        <v>3373.5497283479076</v>
      </c>
      <c r="U726" s="6">
        <f t="shared" si="83"/>
        <v>34.735497283479077</v>
      </c>
    </row>
    <row r="727" spans="1:21" x14ac:dyDescent="0.3">
      <c r="A727" s="2">
        <v>45924</v>
      </c>
      <c r="B727" t="s">
        <v>14</v>
      </c>
      <c r="C727" t="s">
        <v>19</v>
      </c>
      <c r="D727" t="s">
        <v>24</v>
      </c>
      <c r="E727" t="s">
        <v>86</v>
      </c>
      <c r="F727">
        <v>170800</v>
      </c>
      <c r="G727">
        <v>9993</v>
      </c>
      <c r="H727">
        <v>1997</v>
      </c>
      <c r="I727">
        <v>1153</v>
      </c>
      <c r="J727">
        <v>565</v>
      </c>
      <c r="K727" s="4">
        <v>123954.87</v>
      </c>
      <c r="L727" s="4">
        <v>3933314.72</v>
      </c>
      <c r="M727" t="s">
        <v>33</v>
      </c>
      <c r="N727">
        <f t="shared" si="77"/>
        <v>1</v>
      </c>
      <c r="O727" t="str">
        <f>IF(AND(G727&lt;=F727,H727&lt;=G727,I727&lt;=H727,J727&lt;=I727),"OK","Check")</f>
        <v>OK</v>
      </c>
      <c r="P727" s="6">
        <f t="shared" si="78"/>
        <v>5.8507025761124121</v>
      </c>
      <c r="Q727" s="6">
        <f t="shared" si="79"/>
        <v>19.983988792154509</v>
      </c>
      <c r="R727" s="6">
        <f t="shared" si="80"/>
        <v>57.736604907361041</v>
      </c>
      <c r="S727" s="6">
        <f t="shared" si="81"/>
        <v>49.002601908065913</v>
      </c>
      <c r="T727" s="6">
        <f t="shared" si="82"/>
        <v>3073.1828850290435</v>
      </c>
      <c r="U727" s="6">
        <f t="shared" si="83"/>
        <v>31.731828850290434</v>
      </c>
    </row>
    <row r="728" spans="1:21" x14ac:dyDescent="0.3">
      <c r="A728" s="2">
        <v>45925</v>
      </c>
      <c r="B728" t="s">
        <v>14</v>
      </c>
      <c r="C728" t="s">
        <v>19</v>
      </c>
      <c r="D728" t="s">
        <v>24</v>
      </c>
      <c r="E728" t="s">
        <v>86</v>
      </c>
      <c r="F728">
        <v>216281</v>
      </c>
      <c r="G728">
        <v>12275</v>
      </c>
      <c r="H728">
        <v>2743</v>
      </c>
      <c r="I728">
        <v>1436</v>
      </c>
      <c r="J728">
        <v>761</v>
      </c>
      <c r="K728" s="4">
        <v>153644.29999999999</v>
      </c>
      <c r="L728" s="4">
        <v>4620519.83</v>
      </c>
      <c r="M728" t="s">
        <v>31</v>
      </c>
      <c r="N728">
        <f t="shared" si="77"/>
        <v>1</v>
      </c>
      <c r="O728" t="str">
        <f>IF(AND(G728&lt;=F728,H728&lt;=G728,I728&lt;=H728,J728&lt;=I728),"OK","Check")</f>
        <v>OK</v>
      </c>
      <c r="P728" s="6">
        <f t="shared" si="78"/>
        <v>5.6754869822129548</v>
      </c>
      <c r="Q728" s="6">
        <f t="shared" si="79"/>
        <v>22.346232179226071</v>
      </c>
      <c r="R728" s="6">
        <f t="shared" si="80"/>
        <v>52.351440029165154</v>
      </c>
      <c r="S728" s="6">
        <f t="shared" si="81"/>
        <v>52.994428969359333</v>
      </c>
      <c r="T728" s="6">
        <f t="shared" si="82"/>
        <v>2907.2835959420563</v>
      </c>
      <c r="U728" s="6">
        <f t="shared" si="83"/>
        <v>30.072835959420562</v>
      </c>
    </row>
    <row r="729" spans="1:21" x14ac:dyDescent="0.3">
      <c r="A729" s="2">
        <v>45926</v>
      </c>
      <c r="B729" t="s">
        <v>14</v>
      </c>
      <c r="C729" t="s">
        <v>19</v>
      </c>
      <c r="D729" t="s">
        <v>24</v>
      </c>
      <c r="E729" t="s">
        <v>86</v>
      </c>
      <c r="F729">
        <v>288814</v>
      </c>
      <c r="G729">
        <v>15144</v>
      </c>
      <c r="H729">
        <v>3229</v>
      </c>
      <c r="I729">
        <v>1667</v>
      </c>
      <c r="J729">
        <v>717</v>
      </c>
      <c r="K729" s="4">
        <v>184629.3</v>
      </c>
      <c r="L729" s="4">
        <v>5541722.6600000001</v>
      </c>
      <c r="M729" t="s">
        <v>35</v>
      </c>
      <c r="N729">
        <f t="shared" si="77"/>
        <v>1</v>
      </c>
      <c r="O729" t="str">
        <f>IF(AND(G729&lt;=F729,H729&lt;=G729,I729&lt;=H729,J729&lt;=I729),"OK","Check")</f>
        <v>OK</v>
      </c>
      <c r="P729" s="6">
        <f t="shared" si="78"/>
        <v>5.243513126094995</v>
      </c>
      <c r="Q729" s="6">
        <f t="shared" si="79"/>
        <v>21.321975699947174</v>
      </c>
      <c r="R729" s="6">
        <f t="shared" si="80"/>
        <v>51.625890368535153</v>
      </c>
      <c r="S729" s="6">
        <f t="shared" si="81"/>
        <v>43.011397720455911</v>
      </c>
      <c r="T729" s="6">
        <f t="shared" si="82"/>
        <v>2901.540199740778</v>
      </c>
      <c r="U729" s="6">
        <f t="shared" si="83"/>
        <v>30.015401997407782</v>
      </c>
    </row>
    <row r="730" spans="1:21" x14ac:dyDescent="0.3">
      <c r="A730" s="2">
        <v>45927</v>
      </c>
      <c r="B730" t="s">
        <v>14</v>
      </c>
      <c r="C730" t="s">
        <v>19</v>
      </c>
      <c r="D730" t="s">
        <v>24</v>
      </c>
      <c r="E730" t="s">
        <v>86</v>
      </c>
      <c r="F730">
        <v>63287</v>
      </c>
      <c r="G730">
        <v>2103</v>
      </c>
      <c r="H730">
        <v>392</v>
      </c>
      <c r="I730">
        <v>234</v>
      </c>
      <c r="J730">
        <v>105</v>
      </c>
      <c r="K730" s="4">
        <v>40525.230000000003</v>
      </c>
      <c r="L730" s="4">
        <v>774682.1</v>
      </c>
      <c r="M730" t="s">
        <v>34</v>
      </c>
      <c r="N730">
        <f t="shared" si="77"/>
        <v>1</v>
      </c>
      <c r="O730" t="str">
        <f>IF(AND(G730&lt;=F730,H730&lt;=G730,I730&lt;=H730,J730&lt;=I730),"OK","Check")</f>
        <v>OK</v>
      </c>
      <c r="P730" s="6">
        <f t="shared" si="78"/>
        <v>3.3229573214088202</v>
      </c>
      <c r="Q730" s="6">
        <f t="shared" si="79"/>
        <v>18.640038040893963</v>
      </c>
      <c r="R730" s="6">
        <f t="shared" si="80"/>
        <v>59.693877551020414</v>
      </c>
      <c r="S730" s="6">
        <f t="shared" si="81"/>
        <v>44.871794871794876</v>
      </c>
      <c r="T730" s="6">
        <f t="shared" si="82"/>
        <v>1811.6044498698709</v>
      </c>
      <c r="U730" s="6">
        <f t="shared" si="83"/>
        <v>19.116044498698709</v>
      </c>
    </row>
    <row r="731" spans="1:21" x14ac:dyDescent="0.3">
      <c r="A731" s="2">
        <v>45928</v>
      </c>
      <c r="B731" t="s">
        <v>14</v>
      </c>
      <c r="C731" t="s">
        <v>19</v>
      </c>
      <c r="D731" t="s">
        <v>24</v>
      </c>
      <c r="E731" t="s">
        <v>86</v>
      </c>
      <c r="F731">
        <v>84362</v>
      </c>
      <c r="G731">
        <v>5530</v>
      </c>
      <c r="H731">
        <v>851</v>
      </c>
      <c r="I731">
        <v>502</v>
      </c>
      <c r="J731">
        <v>294</v>
      </c>
      <c r="K731" s="4">
        <v>70942.7</v>
      </c>
      <c r="L731" s="4">
        <v>1046903.01</v>
      </c>
      <c r="M731" t="s">
        <v>32</v>
      </c>
      <c r="N731">
        <f t="shared" si="77"/>
        <v>1</v>
      </c>
      <c r="O731" t="str">
        <f>IF(AND(G731&lt;=F731,H731&lt;=G731,I731&lt;=H731,J731&lt;=I731),"OK","Check")</f>
        <v>OK</v>
      </c>
      <c r="P731" s="6">
        <f t="shared" si="78"/>
        <v>6.5550840425784118</v>
      </c>
      <c r="Q731" s="6">
        <f t="shared" si="79"/>
        <v>15.388788426763112</v>
      </c>
      <c r="R731" s="6">
        <f t="shared" si="80"/>
        <v>58.989424206815514</v>
      </c>
      <c r="S731" s="6">
        <f t="shared" si="81"/>
        <v>58.56573705179283</v>
      </c>
      <c r="T731" s="6">
        <f t="shared" si="82"/>
        <v>1375.7022357480053</v>
      </c>
      <c r="U731" s="6">
        <f t="shared" si="83"/>
        <v>14.757022357480052</v>
      </c>
    </row>
    <row r="732" spans="1:21" x14ac:dyDescent="0.3">
      <c r="A732" s="2">
        <v>45929</v>
      </c>
      <c r="B732" t="s">
        <v>14</v>
      </c>
      <c r="C732" t="s">
        <v>19</v>
      </c>
      <c r="D732" t="s">
        <v>24</v>
      </c>
      <c r="E732" t="s">
        <v>86</v>
      </c>
      <c r="F732">
        <v>183268</v>
      </c>
      <c r="G732">
        <v>7046</v>
      </c>
      <c r="H732">
        <v>1579</v>
      </c>
      <c r="I732">
        <v>810</v>
      </c>
      <c r="J732">
        <v>481</v>
      </c>
      <c r="K732" s="4">
        <v>179224.85</v>
      </c>
      <c r="L732" s="4">
        <v>2698270.88</v>
      </c>
      <c r="M732" t="s">
        <v>35</v>
      </c>
      <c r="N732">
        <f t="shared" si="77"/>
        <v>1</v>
      </c>
      <c r="O732" t="str">
        <f>IF(AND(G732&lt;=F732,H732&lt;=G732,I732&lt;=H732,J732&lt;=I732),"OK","Check")</f>
        <v>OK</v>
      </c>
      <c r="P732" s="6">
        <f t="shared" si="78"/>
        <v>3.8446428181679289</v>
      </c>
      <c r="Q732" s="6">
        <f t="shared" si="79"/>
        <v>22.409877944933296</v>
      </c>
      <c r="R732" s="6">
        <f t="shared" si="80"/>
        <v>51.298290056998098</v>
      </c>
      <c r="S732" s="6">
        <f t="shared" si="81"/>
        <v>59.382716049382708</v>
      </c>
      <c r="T732" s="6">
        <f t="shared" si="82"/>
        <v>1405.52274419535</v>
      </c>
      <c r="U732" s="6">
        <f t="shared" si="83"/>
        <v>15.0552274419535</v>
      </c>
    </row>
    <row r="733" spans="1:21" x14ac:dyDescent="0.3">
      <c r="A733" s="2">
        <v>45930</v>
      </c>
      <c r="B733" t="s">
        <v>14</v>
      </c>
      <c r="C733" t="s">
        <v>19</v>
      </c>
      <c r="D733" t="s">
        <v>24</v>
      </c>
      <c r="E733" t="s">
        <v>86</v>
      </c>
      <c r="F733">
        <v>262678</v>
      </c>
      <c r="G733">
        <v>8632</v>
      </c>
      <c r="H733">
        <v>1659</v>
      </c>
      <c r="I733">
        <v>1014</v>
      </c>
      <c r="J733">
        <v>452</v>
      </c>
      <c r="K733" s="4">
        <v>114033.33</v>
      </c>
      <c r="L733" s="4">
        <v>3043417.73</v>
      </c>
      <c r="M733" t="s">
        <v>32</v>
      </c>
      <c r="N733">
        <f t="shared" si="77"/>
        <v>1</v>
      </c>
      <c r="O733" t="str">
        <f>IF(AND(G733&lt;=F733,H733&lt;=G733,I733&lt;=H733,J733&lt;=I733),"OK","Check")</f>
        <v>OK</v>
      </c>
      <c r="P733" s="6">
        <f t="shared" si="78"/>
        <v>3.2861526279322977</v>
      </c>
      <c r="Q733" s="6">
        <f t="shared" si="79"/>
        <v>19.219184430027802</v>
      </c>
      <c r="R733" s="6">
        <f t="shared" si="80"/>
        <v>61.121157323688969</v>
      </c>
      <c r="S733" s="6">
        <f t="shared" si="81"/>
        <v>44.57593688362919</v>
      </c>
      <c r="T733" s="6">
        <f t="shared" si="82"/>
        <v>2568.8843779270501</v>
      </c>
      <c r="U733" s="6">
        <f t="shared" si="83"/>
        <v>26.688843779270499</v>
      </c>
    </row>
    <row r="734" spans="1:21" x14ac:dyDescent="0.3">
      <c r="A734" s="2">
        <v>45931</v>
      </c>
      <c r="B734" t="s">
        <v>14</v>
      </c>
      <c r="C734" t="s">
        <v>19</v>
      </c>
      <c r="D734" t="s">
        <v>24</v>
      </c>
      <c r="E734" t="s">
        <v>86</v>
      </c>
      <c r="F734">
        <v>96963</v>
      </c>
      <c r="G734">
        <v>4818</v>
      </c>
      <c r="H734">
        <v>1033</v>
      </c>
      <c r="I734">
        <v>523</v>
      </c>
      <c r="J734">
        <v>239</v>
      </c>
      <c r="K734" s="4">
        <v>77182.98</v>
      </c>
      <c r="L734" s="4">
        <v>921080.74</v>
      </c>
      <c r="M734" t="s">
        <v>34</v>
      </c>
      <c r="N734">
        <f t="shared" si="77"/>
        <v>1</v>
      </c>
      <c r="O734" t="str">
        <f>IF(AND(G734&lt;=F734,H734&lt;=G734,I734&lt;=H734,J734&lt;=I734),"OK","Check")</f>
        <v>OK</v>
      </c>
      <c r="P734" s="6">
        <f t="shared" si="78"/>
        <v>4.968905665047493</v>
      </c>
      <c r="Q734" s="6">
        <f t="shared" si="79"/>
        <v>21.440431714404319</v>
      </c>
      <c r="R734" s="6">
        <f t="shared" si="80"/>
        <v>50.62923523717329</v>
      </c>
      <c r="S734" s="6">
        <f t="shared" si="81"/>
        <v>45.697896749521988</v>
      </c>
      <c r="T734" s="6">
        <f t="shared" si="82"/>
        <v>1093.372865364877</v>
      </c>
      <c r="U734" s="6">
        <f t="shared" si="83"/>
        <v>11.933728653648771</v>
      </c>
    </row>
    <row r="735" spans="1:21" x14ac:dyDescent="0.3">
      <c r="A735" s="2">
        <v>45932</v>
      </c>
      <c r="B735" t="s">
        <v>14</v>
      </c>
      <c r="C735" t="s">
        <v>19</v>
      </c>
      <c r="D735" t="s">
        <v>24</v>
      </c>
      <c r="E735" t="s">
        <v>86</v>
      </c>
      <c r="F735">
        <v>238932</v>
      </c>
      <c r="G735">
        <v>17897</v>
      </c>
      <c r="H735">
        <v>3400</v>
      </c>
      <c r="I735">
        <v>1696</v>
      </c>
      <c r="J735">
        <v>835</v>
      </c>
      <c r="K735" s="4">
        <v>154238.89000000001</v>
      </c>
      <c r="L735" s="4">
        <v>3986006.43</v>
      </c>
      <c r="M735" t="s">
        <v>32</v>
      </c>
      <c r="N735">
        <f t="shared" si="77"/>
        <v>1</v>
      </c>
      <c r="O735" t="str">
        <f>IF(AND(G735&lt;=F735,H735&lt;=G735,I735&lt;=H735,J735&lt;=I735),"OK","Check")</f>
        <v>OK</v>
      </c>
      <c r="P735" s="6">
        <f t="shared" si="78"/>
        <v>7.4904156831232322</v>
      </c>
      <c r="Q735" s="6">
        <f t="shared" si="79"/>
        <v>18.997597362686484</v>
      </c>
      <c r="R735" s="6">
        <f t="shared" si="80"/>
        <v>49.882352941176471</v>
      </c>
      <c r="S735" s="6">
        <f t="shared" si="81"/>
        <v>49.233490566037737</v>
      </c>
      <c r="T735" s="6">
        <f t="shared" si="82"/>
        <v>2484.3069993566469</v>
      </c>
      <c r="U735" s="6">
        <f t="shared" si="83"/>
        <v>25.843069993566473</v>
      </c>
    </row>
    <row r="736" spans="1:21" x14ac:dyDescent="0.3">
      <c r="A736" s="2">
        <v>45933</v>
      </c>
      <c r="B736" t="s">
        <v>14</v>
      </c>
      <c r="C736" t="s">
        <v>19</v>
      </c>
      <c r="D736" t="s">
        <v>24</v>
      </c>
      <c r="E736" t="s">
        <v>86</v>
      </c>
      <c r="F736">
        <v>86613</v>
      </c>
      <c r="G736">
        <v>4270</v>
      </c>
      <c r="H736">
        <v>804</v>
      </c>
      <c r="I736">
        <v>520</v>
      </c>
      <c r="J736">
        <v>293</v>
      </c>
      <c r="K736" s="4">
        <v>81879.25</v>
      </c>
      <c r="L736" s="4">
        <v>2002746.27</v>
      </c>
      <c r="M736" t="s">
        <v>32</v>
      </c>
      <c r="N736">
        <f t="shared" si="77"/>
        <v>1</v>
      </c>
      <c r="O736" t="str">
        <f>IF(AND(G736&lt;=F736,H736&lt;=G736,I736&lt;=H736,J736&lt;=I736),"OK","Check")</f>
        <v>OK</v>
      </c>
      <c r="P736" s="6">
        <f t="shared" si="78"/>
        <v>4.9299758696731439</v>
      </c>
      <c r="Q736" s="6">
        <f t="shared" si="79"/>
        <v>18.829039812646371</v>
      </c>
      <c r="R736" s="6">
        <f t="shared" si="80"/>
        <v>64.676616915422898</v>
      </c>
      <c r="S736" s="6">
        <f t="shared" si="81"/>
        <v>56.346153846153847</v>
      </c>
      <c r="T736" s="6">
        <f t="shared" si="82"/>
        <v>2345.9753478445391</v>
      </c>
      <c r="U736" s="6">
        <f t="shared" si="83"/>
        <v>24.459753478445393</v>
      </c>
    </row>
    <row r="737" spans="1:21" x14ac:dyDescent="0.3">
      <c r="A737" s="2">
        <v>45934</v>
      </c>
      <c r="B737" t="s">
        <v>14</v>
      </c>
      <c r="C737" t="s">
        <v>19</v>
      </c>
      <c r="D737" t="s">
        <v>24</v>
      </c>
      <c r="E737" t="s">
        <v>86</v>
      </c>
      <c r="F737">
        <v>133105</v>
      </c>
      <c r="G737">
        <v>6571</v>
      </c>
      <c r="H737">
        <v>1269</v>
      </c>
      <c r="I737">
        <v>758</v>
      </c>
      <c r="J737">
        <v>414</v>
      </c>
      <c r="K737" s="4">
        <v>125866.36</v>
      </c>
      <c r="L737" s="4">
        <v>2149460.89</v>
      </c>
      <c r="M737" t="s">
        <v>35</v>
      </c>
      <c r="N737">
        <f t="shared" si="77"/>
        <v>1</v>
      </c>
      <c r="O737" t="str">
        <f>IF(AND(G737&lt;=F737,H737&lt;=G737,I737&lt;=H737,J737&lt;=I737),"OK","Check")</f>
        <v>OK</v>
      </c>
      <c r="P737" s="6">
        <f t="shared" si="78"/>
        <v>4.9367041057811498</v>
      </c>
      <c r="Q737" s="6">
        <f t="shared" si="79"/>
        <v>19.31212905189469</v>
      </c>
      <c r="R737" s="6">
        <f t="shared" si="80"/>
        <v>59.732072498029943</v>
      </c>
      <c r="S737" s="6">
        <f t="shared" si="81"/>
        <v>54.617414248021113</v>
      </c>
      <c r="T737" s="6">
        <f t="shared" si="82"/>
        <v>1607.7326221239734</v>
      </c>
      <c r="U737" s="6">
        <f t="shared" si="83"/>
        <v>17.077326221239733</v>
      </c>
    </row>
    <row r="738" spans="1:21" x14ac:dyDescent="0.3">
      <c r="A738" s="2">
        <v>45935</v>
      </c>
      <c r="B738" t="s">
        <v>14</v>
      </c>
      <c r="C738" t="s">
        <v>19</v>
      </c>
      <c r="D738" t="s">
        <v>24</v>
      </c>
      <c r="E738" t="s">
        <v>86</v>
      </c>
      <c r="F738">
        <v>277734</v>
      </c>
      <c r="G738">
        <v>16825</v>
      </c>
      <c r="H738">
        <v>4065</v>
      </c>
      <c r="I738">
        <v>1971</v>
      </c>
      <c r="J738">
        <v>1056</v>
      </c>
      <c r="K738" s="4">
        <v>248427.75</v>
      </c>
      <c r="L738" s="4">
        <v>5043350.97</v>
      </c>
      <c r="M738" t="s">
        <v>33</v>
      </c>
      <c r="N738">
        <f t="shared" si="77"/>
        <v>1</v>
      </c>
      <c r="O738" t="str">
        <f>IF(AND(G738&lt;=F738,H738&lt;=G738,I738&lt;=H738,J738&lt;=I738),"OK","Check")</f>
        <v>OK</v>
      </c>
      <c r="P738" s="6">
        <f t="shared" si="78"/>
        <v>6.0579547336660262</v>
      </c>
      <c r="Q738" s="6">
        <f t="shared" si="79"/>
        <v>24.160475482912332</v>
      </c>
      <c r="R738" s="6">
        <f t="shared" si="80"/>
        <v>48.487084870848705</v>
      </c>
      <c r="S738" s="6">
        <f t="shared" si="81"/>
        <v>53.576864535768642</v>
      </c>
      <c r="T738" s="6">
        <f t="shared" si="82"/>
        <v>1930.1077355488665</v>
      </c>
      <c r="U738" s="6">
        <f t="shared" si="83"/>
        <v>20.301077355488665</v>
      </c>
    </row>
    <row r="739" spans="1:21" x14ac:dyDescent="0.3">
      <c r="A739" s="2">
        <v>45936</v>
      </c>
      <c r="B739" t="s">
        <v>14</v>
      </c>
      <c r="C739" t="s">
        <v>19</v>
      </c>
      <c r="D739" t="s">
        <v>24</v>
      </c>
      <c r="E739" t="s">
        <v>86</v>
      </c>
      <c r="F739">
        <v>116985</v>
      </c>
      <c r="G739">
        <v>8242</v>
      </c>
      <c r="H739">
        <v>1752</v>
      </c>
      <c r="I739">
        <v>845</v>
      </c>
      <c r="J739">
        <v>384</v>
      </c>
      <c r="K739" s="4">
        <v>92101.9</v>
      </c>
      <c r="L739" s="4">
        <v>2994088.87</v>
      </c>
      <c r="M739" t="s">
        <v>34</v>
      </c>
      <c r="N739">
        <f t="shared" si="77"/>
        <v>1</v>
      </c>
      <c r="O739" t="str">
        <f>IF(AND(G739&lt;=F739,H739&lt;=G739,I739&lt;=H739,J739&lt;=I739),"OK","Check")</f>
        <v>OK</v>
      </c>
      <c r="P739" s="6">
        <f t="shared" si="78"/>
        <v>7.0453476941488224</v>
      </c>
      <c r="Q739" s="6">
        <f t="shared" si="79"/>
        <v>21.256976462023779</v>
      </c>
      <c r="R739" s="6">
        <f t="shared" si="80"/>
        <v>48.230593607305941</v>
      </c>
      <c r="S739" s="6">
        <f t="shared" si="81"/>
        <v>45.443786982248518</v>
      </c>
      <c r="T739" s="6">
        <f t="shared" si="82"/>
        <v>3150.8437610950482</v>
      </c>
      <c r="U739" s="6">
        <f t="shared" si="83"/>
        <v>32.50843761095048</v>
      </c>
    </row>
    <row r="740" spans="1:21" x14ac:dyDescent="0.3">
      <c r="A740" s="2">
        <v>45937</v>
      </c>
      <c r="B740" t="s">
        <v>14</v>
      </c>
      <c r="C740" t="s">
        <v>19</v>
      </c>
      <c r="D740" t="s">
        <v>24</v>
      </c>
      <c r="E740" t="s">
        <v>86</v>
      </c>
      <c r="F740">
        <v>229002</v>
      </c>
      <c r="G740">
        <v>17513</v>
      </c>
      <c r="H740">
        <v>3683</v>
      </c>
      <c r="I740">
        <v>2365</v>
      </c>
      <c r="J740">
        <v>1189</v>
      </c>
      <c r="K740" s="4">
        <v>161077.87</v>
      </c>
      <c r="L740" s="4">
        <v>9344118.6600000001</v>
      </c>
      <c r="M740" t="s">
        <v>35</v>
      </c>
      <c r="N740">
        <f t="shared" si="77"/>
        <v>1</v>
      </c>
      <c r="O740" t="str">
        <f>IF(AND(G740&lt;=F740,H740&lt;=G740,I740&lt;=H740,J740&lt;=I740),"OK","Check")</f>
        <v>OK</v>
      </c>
      <c r="P740" s="6">
        <f t="shared" si="78"/>
        <v>7.6475314626073141</v>
      </c>
      <c r="Q740" s="6">
        <f t="shared" si="79"/>
        <v>21.030091931707876</v>
      </c>
      <c r="R740" s="6">
        <f t="shared" si="80"/>
        <v>64.213956014118921</v>
      </c>
      <c r="S740" s="6">
        <f t="shared" si="81"/>
        <v>50.274841437632134</v>
      </c>
      <c r="T740" s="6">
        <f t="shared" si="82"/>
        <v>5700.9946741908134</v>
      </c>
      <c r="U740" s="6">
        <f t="shared" si="83"/>
        <v>58.009946741908124</v>
      </c>
    </row>
    <row r="741" spans="1:21" x14ac:dyDescent="0.3">
      <c r="A741" s="2">
        <v>45938</v>
      </c>
      <c r="B741" t="s">
        <v>14</v>
      </c>
      <c r="C741" t="s">
        <v>19</v>
      </c>
      <c r="D741" t="s">
        <v>24</v>
      </c>
      <c r="E741" t="s">
        <v>86</v>
      </c>
      <c r="F741">
        <v>190424</v>
      </c>
      <c r="G741">
        <v>10827</v>
      </c>
      <c r="H741">
        <v>2153</v>
      </c>
      <c r="I741">
        <v>1389</v>
      </c>
      <c r="J741">
        <v>633</v>
      </c>
      <c r="K741" s="4">
        <v>105225</v>
      </c>
      <c r="L741" s="4">
        <v>3490888.31</v>
      </c>
      <c r="M741" t="s">
        <v>31</v>
      </c>
      <c r="N741">
        <f t="shared" si="77"/>
        <v>1</v>
      </c>
      <c r="O741" t="str">
        <f>IF(AND(G741&lt;=F741,H741&lt;=G741,I741&lt;=H741,J741&lt;=I741),"OK","Check")</f>
        <v>OK</v>
      </c>
      <c r="P741" s="6">
        <f t="shared" si="78"/>
        <v>5.6857328908120826</v>
      </c>
      <c r="Q741" s="6">
        <f t="shared" si="79"/>
        <v>19.885471506419137</v>
      </c>
      <c r="R741" s="6">
        <f t="shared" si="80"/>
        <v>64.514630747793774</v>
      </c>
      <c r="S741" s="6">
        <f t="shared" si="81"/>
        <v>45.572354211663068</v>
      </c>
      <c r="T741" s="6">
        <f t="shared" si="82"/>
        <v>3217.5465051081019</v>
      </c>
      <c r="U741" s="6">
        <f t="shared" si="83"/>
        <v>33.175465051081019</v>
      </c>
    </row>
    <row r="742" spans="1:21" x14ac:dyDescent="0.3">
      <c r="A742" s="2">
        <v>45939</v>
      </c>
      <c r="B742" t="s">
        <v>14</v>
      </c>
      <c r="C742" t="s">
        <v>19</v>
      </c>
      <c r="D742" t="s">
        <v>24</v>
      </c>
      <c r="E742" t="s">
        <v>86</v>
      </c>
      <c r="F742">
        <v>110972</v>
      </c>
      <c r="G742">
        <v>4268</v>
      </c>
      <c r="H742">
        <v>982</v>
      </c>
      <c r="I742">
        <v>454</v>
      </c>
      <c r="J742">
        <v>200</v>
      </c>
      <c r="K742" s="4">
        <v>97229.71</v>
      </c>
      <c r="L742" s="4">
        <v>1191628</v>
      </c>
      <c r="M742" t="s">
        <v>35</v>
      </c>
      <c r="N742">
        <f t="shared" si="77"/>
        <v>1</v>
      </c>
      <c r="O742" t="str">
        <f>IF(AND(G742&lt;=F742,H742&lt;=G742,I742&lt;=H742,J742&lt;=I742),"OK","Check")</f>
        <v>OK</v>
      </c>
      <c r="P742" s="6">
        <f t="shared" si="78"/>
        <v>3.8460152110442269</v>
      </c>
      <c r="Q742" s="6">
        <f t="shared" si="79"/>
        <v>23.008434864104967</v>
      </c>
      <c r="R742" s="6">
        <f t="shared" si="80"/>
        <v>46.232179226069249</v>
      </c>
      <c r="S742" s="6">
        <f t="shared" si="81"/>
        <v>44.052863436123346</v>
      </c>
      <c r="T742" s="6">
        <f t="shared" si="82"/>
        <v>1125.5801236062516</v>
      </c>
      <c r="U742" s="6">
        <f t="shared" si="83"/>
        <v>12.255801236062515</v>
      </c>
    </row>
    <row r="743" spans="1:21" x14ac:dyDescent="0.3">
      <c r="A743" s="2">
        <v>45940</v>
      </c>
      <c r="B743" t="s">
        <v>14</v>
      </c>
      <c r="C743" t="s">
        <v>19</v>
      </c>
      <c r="D743" t="s">
        <v>24</v>
      </c>
      <c r="E743" t="s">
        <v>86</v>
      </c>
      <c r="F743">
        <v>90691</v>
      </c>
      <c r="G743">
        <v>6497</v>
      </c>
      <c r="H743">
        <v>1168</v>
      </c>
      <c r="I743">
        <v>594</v>
      </c>
      <c r="J743">
        <v>242</v>
      </c>
      <c r="K743" s="4">
        <v>54234.25</v>
      </c>
      <c r="L743" s="4">
        <v>815080.48</v>
      </c>
      <c r="M743" t="s">
        <v>31</v>
      </c>
      <c r="N743">
        <f t="shared" si="77"/>
        <v>1</v>
      </c>
      <c r="O743" t="str">
        <f>IF(AND(G743&lt;=F743,H743&lt;=G743,I743&lt;=H743,J743&lt;=I743),"OK","Check")</f>
        <v>OK</v>
      </c>
      <c r="P743" s="6">
        <f t="shared" si="78"/>
        <v>7.1638861629048094</v>
      </c>
      <c r="Q743" s="6">
        <f t="shared" si="79"/>
        <v>17.977528089887642</v>
      </c>
      <c r="R743" s="6">
        <f t="shared" si="80"/>
        <v>50.856164383561641</v>
      </c>
      <c r="S743" s="6">
        <f t="shared" si="81"/>
        <v>40.74074074074074</v>
      </c>
      <c r="T743" s="6">
        <f t="shared" si="82"/>
        <v>1402.888820256572</v>
      </c>
      <c r="U743" s="6">
        <f t="shared" si="83"/>
        <v>15.028888202565721</v>
      </c>
    </row>
    <row r="744" spans="1:21" x14ac:dyDescent="0.3">
      <c r="A744" s="2">
        <v>45941</v>
      </c>
      <c r="B744" t="s">
        <v>14</v>
      </c>
      <c r="C744" t="s">
        <v>19</v>
      </c>
      <c r="D744" t="s">
        <v>24</v>
      </c>
      <c r="E744" t="s">
        <v>86</v>
      </c>
      <c r="F744">
        <v>58157</v>
      </c>
      <c r="G744">
        <v>3232</v>
      </c>
      <c r="H744">
        <v>534</v>
      </c>
      <c r="I744">
        <v>257</v>
      </c>
      <c r="J744">
        <v>110</v>
      </c>
      <c r="K744" s="4">
        <v>53956</v>
      </c>
      <c r="L744" s="4">
        <v>475326.81</v>
      </c>
      <c r="M744" t="s">
        <v>35</v>
      </c>
      <c r="N744">
        <f t="shared" si="77"/>
        <v>1</v>
      </c>
      <c r="O744" t="str">
        <f>IF(AND(G744&lt;=F744,H744&lt;=G744,I744&lt;=H744,J744&lt;=I744),"OK","Check")</f>
        <v>OK</v>
      </c>
      <c r="P744" s="6">
        <f t="shared" si="78"/>
        <v>5.5573705658820094</v>
      </c>
      <c r="Q744" s="6">
        <f t="shared" si="79"/>
        <v>16.522277227722775</v>
      </c>
      <c r="R744" s="6">
        <f t="shared" si="80"/>
        <v>48.127340823970037</v>
      </c>
      <c r="S744" s="6">
        <f t="shared" si="81"/>
        <v>42.80155642023346</v>
      </c>
      <c r="T744" s="6">
        <f t="shared" si="82"/>
        <v>780.95264660093414</v>
      </c>
      <c r="U744" s="6">
        <f t="shared" si="83"/>
        <v>8.8095264660093413</v>
      </c>
    </row>
    <row r="745" spans="1:21" x14ac:dyDescent="0.3">
      <c r="A745" s="2">
        <v>45942</v>
      </c>
      <c r="B745" t="s">
        <v>14</v>
      </c>
      <c r="C745" t="s">
        <v>19</v>
      </c>
      <c r="D745" t="s">
        <v>24</v>
      </c>
      <c r="E745" t="s">
        <v>86</v>
      </c>
      <c r="F745">
        <v>135976</v>
      </c>
      <c r="G745">
        <v>10257</v>
      </c>
      <c r="H745">
        <v>1702</v>
      </c>
      <c r="I745">
        <v>1092</v>
      </c>
      <c r="J745">
        <v>457</v>
      </c>
      <c r="K745" s="4">
        <v>95285.119999999995</v>
      </c>
      <c r="L745" s="4">
        <v>1968745.07</v>
      </c>
      <c r="M745" t="s">
        <v>31</v>
      </c>
      <c r="N745">
        <f t="shared" si="77"/>
        <v>1</v>
      </c>
      <c r="O745" t="str">
        <f>IF(AND(G745&lt;=F745,H745&lt;=G745,I745&lt;=H745,J745&lt;=I745),"OK","Check")</f>
        <v>OK</v>
      </c>
      <c r="P745" s="6">
        <f t="shared" si="78"/>
        <v>7.5432429252220974</v>
      </c>
      <c r="Q745" s="6">
        <f t="shared" si="79"/>
        <v>16.593545871112411</v>
      </c>
      <c r="R745" s="6">
        <f t="shared" si="80"/>
        <v>64.159811985898941</v>
      </c>
      <c r="S745" s="6">
        <f t="shared" si="81"/>
        <v>41.849816849816854</v>
      </c>
      <c r="T745" s="6">
        <f t="shared" si="82"/>
        <v>1966.1621352840825</v>
      </c>
      <c r="U745" s="6">
        <f t="shared" si="83"/>
        <v>20.661621352840822</v>
      </c>
    </row>
    <row r="746" spans="1:21" x14ac:dyDescent="0.3">
      <c r="A746" s="2">
        <v>45943</v>
      </c>
      <c r="B746" t="s">
        <v>14</v>
      </c>
      <c r="C746" t="s">
        <v>19</v>
      </c>
      <c r="D746" t="s">
        <v>24</v>
      </c>
      <c r="E746" t="s">
        <v>86</v>
      </c>
      <c r="F746">
        <v>75257</v>
      </c>
      <c r="G746">
        <v>2399</v>
      </c>
      <c r="H746">
        <v>411</v>
      </c>
      <c r="I746">
        <v>199</v>
      </c>
      <c r="J746">
        <v>112</v>
      </c>
      <c r="K746" s="4">
        <v>34218.43</v>
      </c>
      <c r="L746" s="4">
        <v>450838.11</v>
      </c>
      <c r="M746" t="s">
        <v>35</v>
      </c>
      <c r="N746">
        <f t="shared" si="77"/>
        <v>1</v>
      </c>
      <c r="O746" t="str">
        <f>IF(AND(G746&lt;=F746,H746&lt;=G746,I746&lt;=H746,J746&lt;=I746),"OK","Check")</f>
        <v>OK</v>
      </c>
      <c r="P746" s="6">
        <f t="shared" si="78"/>
        <v>3.1877433328461136</v>
      </c>
      <c r="Q746" s="6">
        <f t="shared" si="79"/>
        <v>17.13213839099625</v>
      </c>
      <c r="R746" s="6">
        <f t="shared" si="80"/>
        <v>48.418491484184919</v>
      </c>
      <c r="S746" s="6">
        <f t="shared" si="81"/>
        <v>56.281407035175882</v>
      </c>
      <c r="T746" s="6">
        <f t="shared" si="82"/>
        <v>1217.5300853955016</v>
      </c>
      <c r="U746" s="6">
        <f t="shared" si="83"/>
        <v>13.175300853955017</v>
      </c>
    </row>
    <row r="747" spans="1:21" x14ac:dyDescent="0.3">
      <c r="A747" s="2">
        <v>45944</v>
      </c>
      <c r="B747" t="s">
        <v>14</v>
      </c>
      <c r="C747" t="s">
        <v>19</v>
      </c>
      <c r="D747" t="s">
        <v>24</v>
      </c>
      <c r="E747" t="s">
        <v>86</v>
      </c>
      <c r="F747">
        <v>198364</v>
      </c>
      <c r="G747">
        <v>13118</v>
      </c>
      <c r="H747">
        <v>1984</v>
      </c>
      <c r="I747">
        <v>1175</v>
      </c>
      <c r="J747">
        <v>480</v>
      </c>
      <c r="K747" s="4">
        <v>91490.04</v>
      </c>
      <c r="L747" s="4">
        <v>2452250.17</v>
      </c>
      <c r="M747" t="s">
        <v>34</v>
      </c>
      <c r="N747">
        <f t="shared" si="77"/>
        <v>1</v>
      </c>
      <c r="O747" t="str">
        <f>IF(AND(G747&lt;=F747,H747&lt;=G747,I747&lt;=H747,J747&lt;=I747),"OK","Check")</f>
        <v>OK</v>
      </c>
      <c r="P747" s="6">
        <f t="shared" si="78"/>
        <v>6.6130951180657771</v>
      </c>
      <c r="Q747" s="6">
        <f t="shared" si="79"/>
        <v>15.124256746455252</v>
      </c>
      <c r="R747" s="6">
        <f t="shared" si="80"/>
        <v>59.223790322580648</v>
      </c>
      <c r="S747" s="6">
        <f t="shared" si="81"/>
        <v>40.851063829787229</v>
      </c>
      <c r="T747" s="6">
        <f t="shared" si="82"/>
        <v>2580.3465929187487</v>
      </c>
      <c r="U747" s="6">
        <f t="shared" si="83"/>
        <v>26.803465929187485</v>
      </c>
    </row>
    <row r="748" spans="1:21" x14ac:dyDescent="0.3">
      <c r="A748" s="2">
        <v>45945</v>
      </c>
      <c r="B748" t="s">
        <v>14</v>
      </c>
      <c r="C748" t="s">
        <v>19</v>
      </c>
      <c r="D748" t="s">
        <v>24</v>
      </c>
      <c r="E748" t="s">
        <v>86</v>
      </c>
      <c r="F748">
        <v>295919</v>
      </c>
      <c r="G748">
        <v>17609</v>
      </c>
      <c r="H748">
        <v>3372</v>
      </c>
      <c r="I748">
        <v>1885</v>
      </c>
      <c r="J748">
        <v>798</v>
      </c>
      <c r="K748" s="4">
        <v>153865.01999999999</v>
      </c>
      <c r="L748" s="4">
        <v>5620586.3600000003</v>
      </c>
      <c r="M748" t="s">
        <v>34</v>
      </c>
      <c r="N748">
        <f t="shared" si="77"/>
        <v>1</v>
      </c>
      <c r="O748" t="str">
        <f>IF(AND(G748&lt;=F748,H748&lt;=G748,I748&lt;=H748,J748&lt;=I748),"OK","Check")</f>
        <v>OK</v>
      </c>
      <c r="P748" s="6">
        <f t="shared" si="78"/>
        <v>5.9506148642027048</v>
      </c>
      <c r="Q748" s="6">
        <f t="shared" si="79"/>
        <v>19.149298654097336</v>
      </c>
      <c r="R748" s="6">
        <f t="shared" si="80"/>
        <v>55.901542111506522</v>
      </c>
      <c r="S748" s="6">
        <f t="shared" si="81"/>
        <v>42.334217506631298</v>
      </c>
      <c r="T748" s="6">
        <f t="shared" si="82"/>
        <v>3552.9331748047744</v>
      </c>
      <c r="U748" s="6">
        <f t="shared" si="83"/>
        <v>36.529331748047738</v>
      </c>
    </row>
    <row r="749" spans="1:21" x14ac:dyDescent="0.3">
      <c r="A749" s="2">
        <v>45946</v>
      </c>
      <c r="B749" t="s">
        <v>14</v>
      </c>
      <c r="C749" t="s">
        <v>19</v>
      </c>
      <c r="D749" t="s">
        <v>24</v>
      </c>
      <c r="E749" t="s">
        <v>86</v>
      </c>
      <c r="F749">
        <v>219192</v>
      </c>
      <c r="G749">
        <v>9561</v>
      </c>
      <c r="H749">
        <v>2253</v>
      </c>
      <c r="I749">
        <v>1253</v>
      </c>
      <c r="J749">
        <v>681</v>
      </c>
      <c r="K749" s="4">
        <v>111858.16</v>
      </c>
      <c r="L749" s="4">
        <v>2520660.98</v>
      </c>
      <c r="M749" t="s">
        <v>35</v>
      </c>
      <c r="N749">
        <f t="shared" si="77"/>
        <v>1</v>
      </c>
      <c r="O749" t="str">
        <f>IF(AND(G749&lt;=F749,H749&lt;=G749,I749&lt;=H749,J749&lt;=I749),"OK","Check")</f>
        <v>OK</v>
      </c>
      <c r="P749" s="6">
        <f t="shared" si="78"/>
        <v>4.3619292674915142</v>
      </c>
      <c r="Q749" s="6">
        <f t="shared" si="79"/>
        <v>23.564480702855349</v>
      </c>
      <c r="R749" s="6">
        <f t="shared" si="80"/>
        <v>55.61473590767865</v>
      </c>
      <c r="S749" s="6">
        <f t="shared" si="81"/>
        <v>54.349561053471675</v>
      </c>
      <c r="T749" s="6">
        <f t="shared" si="82"/>
        <v>2153.4439865629829</v>
      </c>
      <c r="U749" s="6">
        <f t="shared" si="83"/>
        <v>22.534439865629828</v>
      </c>
    </row>
    <row r="750" spans="1:21" x14ac:dyDescent="0.3">
      <c r="A750" s="2">
        <v>45947</v>
      </c>
      <c r="B750" t="s">
        <v>14</v>
      </c>
      <c r="C750" t="s">
        <v>19</v>
      </c>
      <c r="D750" t="s">
        <v>24</v>
      </c>
      <c r="E750" t="s">
        <v>86</v>
      </c>
      <c r="F750">
        <v>274932</v>
      </c>
      <c r="G750">
        <v>19134</v>
      </c>
      <c r="H750">
        <v>4243</v>
      </c>
      <c r="I750">
        <v>2579</v>
      </c>
      <c r="J750">
        <v>1097</v>
      </c>
      <c r="K750" s="4">
        <v>235450.39</v>
      </c>
      <c r="L750" s="4">
        <v>5481451.6699999999</v>
      </c>
      <c r="M750" t="s">
        <v>33</v>
      </c>
      <c r="N750">
        <f t="shared" si="77"/>
        <v>1</v>
      </c>
      <c r="O750" t="str">
        <f>IF(AND(G750&lt;=F750,H750&lt;=G750,I750&lt;=H750,J750&lt;=I750),"OK","Check")</f>
        <v>OK</v>
      </c>
      <c r="P750" s="6">
        <f t="shared" si="78"/>
        <v>6.9595390860285447</v>
      </c>
      <c r="Q750" s="6">
        <f t="shared" si="79"/>
        <v>22.175185533605102</v>
      </c>
      <c r="R750" s="6">
        <f t="shared" si="80"/>
        <v>60.782465236860716</v>
      </c>
      <c r="S750" s="6">
        <f t="shared" si="81"/>
        <v>42.535866614967041</v>
      </c>
      <c r="T750" s="6">
        <f t="shared" si="82"/>
        <v>2228.0707540981348</v>
      </c>
      <c r="U750" s="6">
        <f t="shared" si="83"/>
        <v>23.28070754098135</v>
      </c>
    </row>
    <row r="751" spans="1:21" x14ac:dyDescent="0.3">
      <c r="A751" s="2">
        <v>45948</v>
      </c>
      <c r="B751" t="s">
        <v>14</v>
      </c>
      <c r="C751" t="s">
        <v>19</v>
      </c>
      <c r="D751" t="s">
        <v>24</v>
      </c>
      <c r="E751" t="s">
        <v>86</v>
      </c>
      <c r="F751">
        <v>73891</v>
      </c>
      <c r="G751">
        <v>5322</v>
      </c>
      <c r="H751">
        <v>940</v>
      </c>
      <c r="I751">
        <v>560</v>
      </c>
      <c r="J751">
        <v>325</v>
      </c>
      <c r="K751" s="4">
        <v>30551.39</v>
      </c>
      <c r="L751" s="4">
        <v>1890046.69</v>
      </c>
      <c r="M751" t="s">
        <v>35</v>
      </c>
      <c r="N751">
        <f t="shared" si="77"/>
        <v>1</v>
      </c>
      <c r="O751" t="str">
        <f>IF(AND(G751&lt;=F751,H751&lt;=G751,I751&lt;=H751,J751&lt;=I751),"OK","Check")</f>
        <v>OK</v>
      </c>
      <c r="P751" s="6">
        <f t="shared" si="78"/>
        <v>7.2025009811749738</v>
      </c>
      <c r="Q751" s="6">
        <f t="shared" si="79"/>
        <v>17.662532882375046</v>
      </c>
      <c r="R751" s="6">
        <f t="shared" si="80"/>
        <v>59.574468085106382</v>
      </c>
      <c r="S751" s="6">
        <f t="shared" si="81"/>
        <v>58.035714285714292</v>
      </c>
      <c r="T751" s="6">
        <f t="shared" si="82"/>
        <v>6086.4507310469353</v>
      </c>
      <c r="U751" s="6">
        <f t="shared" si="83"/>
        <v>61.864507310469342</v>
      </c>
    </row>
    <row r="752" spans="1:21" x14ac:dyDescent="0.3">
      <c r="A752" s="2">
        <v>45949</v>
      </c>
      <c r="B752" t="s">
        <v>14</v>
      </c>
      <c r="C752" t="s">
        <v>19</v>
      </c>
      <c r="D752" t="s">
        <v>24</v>
      </c>
      <c r="E752" t="s">
        <v>86</v>
      </c>
      <c r="F752">
        <v>78968</v>
      </c>
      <c r="G752">
        <v>2541</v>
      </c>
      <c r="H752">
        <v>471</v>
      </c>
      <c r="I752">
        <v>249</v>
      </c>
      <c r="J752">
        <v>121</v>
      </c>
      <c r="K752" s="4">
        <v>54841.39</v>
      </c>
      <c r="L752" s="4">
        <v>399316.55</v>
      </c>
      <c r="M752" t="s">
        <v>33</v>
      </c>
      <c r="N752">
        <f t="shared" si="77"/>
        <v>1</v>
      </c>
      <c r="O752" t="str">
        <f>IF(AND(G752&lt;=F752,H752&lt;=G752,I752&lt;=H752,J752&lt;=I752),"OK","Check")</f>
        <v>OK</v>
      </c>
      <c r="P752" s="6">
        <f t="shared" si="78"/>
        <v>3.2177590922905481</v>
      </c>
      <c r="Q752" s="6">
        <f t="shared" si="79"/>
        <v>18.536009445100355</v>
      </c>
      <c r="R752" s="6">
        <f t="shared" si="80"/>
        <v>52.866242038216562</v>
      </c>
      <c r="S752" s="6">
        <f t="shared" si="81"/>
        <v>48.594377510040161</v>
      </c>
      <c r="T752" s="6">
        <f t="shared" si="82"/>
        <v>628.12988511049775</v>
      </c>
      <c r="U752" s="6">
        <f t="shared" si="83"/>
        <v>7.2812988511049772</v>
      </c>
    </row>
    <row r="753" spans="1:21" x14ac:dyDescent="0.3">
      <c r="A753" s="2">
        <v>45950</v>
      </c>
      <c r="B753" t="s">
        <v>14</v>
      </c>
      <c r="C753" t="s">
        <v>19</v>
      </c>
      <c r="D753" t="s">
        <v>24</v>
      </c>
      <c r="E753" t="s">
        <v>86</v>
      </c>
      <c r="F753">
        <v>260789</v>
      </c>
      <c r="G753">
        <v>14483</v>
      </c>
      <c r="H753">
        <v>2729</v>
      </c>
      <c r="I753">
        <v>1300</v>
      </c>
      <c r="J753">
        <v>685</v>
      </c>
      <c r="K753" s="4">
        <v>217576.56</v>
      </c>
      <c r="L753" s="4">
        <v>2824586.55</v>
      </c>
      <c r="M753" t="s">
        <v>34</v>
      </c>
      <c r="N753">
        <f t="shared" si="77"/>
        <v>1</v>
      </c>
      <c r="O753" t="str">
        <f>IF(AND(G753&lt;=F753,H753&lt;=G753,I753&lt;=H753,J753&lt;=I753),"OK","Check")</f>
        <v>OK</v>
      </c>
      <c r="P753" s="6">
        <f t="shared" si="78"/>
        <v>5.5535317823987977</v>
      </c>
      <c r="Q753" s="6">
        <f t="shared" si="79"/>
        <v>18.842781191742041</v>
      </c>
      <c r="R753" s="6">
        <f t="shared" si="80"/>
        <v>47.636496885305974</v>
      </c>
      <c r="S753" s="6">
        <f t="shared" si="81"/>
        <v>52.692307692307693</v>
      </c>
      <c r="T753" s="6">
        <f t="shared" si="82"/>
        <v>1198.2035151212979</v>
      </c>
      <c r="U753" s="6">
        <f t="shared" si="83"/>
        <v>12.98203515121298</v>
      </c>
    </row>
    <row r="754" spans="1:21" x14ac:dyDescent="0.3">
      <c r="A754" s="2">
        <v>45951</v>
      </c>
      <c r="B754" t="s">
        <v>14</v>
      </c>
      <c r="C754" t="s">
        <v>19</v>
      </c>
      <c r="D754" t="s">
        <v>24</v>
      </c>
      <c r="E754" t="s">
        <v>86</v>
      </c>
      <c r="F754">
        <v>134380</v>
      </c>
      <c r="G754">
        <v>6252</v>
      </c>
      <c r="H754">
        <v>1300</v>
      </c>
      <c r="I754">
        <v>685</v>
      </c>
      <c r="J754">
        <v>354</v>
      </c>
      <c r="K754" s="4">
        <v>132525.26</v>
      </c>
      <c r="L754" s="4">
        <v>2665107.4900000002</v>
      </c>
      <c r="M754" t="s">
        <v>32</v>
      </c>
      <c r="N754">
        <f t="shared" si="77"/>
        <v>1</v>
      </c>
      <c r="O754" t="str">
        <f>IF(AND(G754&lt;=F754,H754&lt;=G754,I754&lt;=H754,J754&lt;=I754),"OK","Check")</f>
        <v>OK</v>
      </c>
      <c r="P754" s="6">
        <f t="shared" si="78"/>
        <v>4.6524780473284713</v>
      </c>
      <c r="Q754" s="6">
        <f t="shared" si="79"/>
        <v>20.793346129238643</v>
      </c>
      <c r="R754" s="6">
        <f t="shared" si="80"/>
        <v>52.692307692307693</v>
      </c>
      <c r="S754" s="6">
        <f t="shared" si="81"/>
        <v>51.678832116788321</v>
      </c>
      <c r="T754" s="6">
        <f t="shared" si="82"/>
        <v>1911.0184956437743</v>
      </c>
      <c r="U754" s="6">
        <f t="shared" si="83"/>
        <v>20.110184956437738</v>
      </c>
    </row>
    <row r="755" spans="1:21" x14ac:dyDescent="0.3">
      <c r="A755" s="2">
        <v>45952</v>
      </c>
      <c r="B755" t="s">
        <v>14</v>
      </c>
      <c r="C755" t="s">
        <v>19</v>
      </c>
      <c r="D755" t="s">
        <v>24</v>
      </c>
      <c r="E755" t="s">
        <v>86</v>
      </c>
      <c r="F755">
        <v>287916</v>
      </c>
      <c r="G755">
        <v>10349</v>
      </c>
      <c r="H755">
        <v>1738</v>
      </c>
      <c r="I755">
        <v>838</v>
      </c>
      <c r="J755">
        <v>398</v>
      </c>
      <c r="K755" s="4">
        <v>115613.02</v>
      </c>
      <c r="L755" s="4">
        <v>1867784.24</v>
      </c>
      <c r="M755" t="s">
        <v>31</v>
      </c>
      <c r="N755">
        <f t="shared" si="77"/>
        <v>1</v>
      </c>
      <c r="O755" t="str">
        <f>IF(AND(G755&lt;=F755,H755&lt;=G755,I755&lt;=H755,J755&lt;=I755),"OK","Check")</f>
        <v>OK</v>
      </c>
      <c r="P755" s="6">
        <f t="shared" si="78"/>
        <v>3.5944511593659261</v>
      </c>
      <c r="Q755" s="6">
        <f t="shared" si="79"/>
        <v>16.793893129770993</v>
      </c>
      <c r="R755" s="6">
        <f t="shared" si="80"/>
        <v>48.216340621403916</v>
      </c>
      <c r="S755" s="6">
        <f t="shared" si="81"/>
        <v>47.494033412887823</v>
      </c>
      <c r="T755" s="6">
        <f t="shared" si="82"/>
        <v>1515.548352599041</v>
      </c>
      <c r="U755" s="6">
        <f t="shared" si="83"/>
        <v>16.155483525990412</v>
      </c>
    </row>
    <row r="756" spans="1:21" x14ac:dyDescent="0.3">
      <c r="A756" s="2">
        <v>45953</v>
      </c>
      <c r="B756" t="s">
        <v>14</v>
      </c>
      <c r="C756" t="s">
        <v>19</v>
      </c>
      <c r="D756" t="s">
        <v>24</v>
      </c>
      <c r="E756" t="s">
        <v>86</v>
      </c>
      <c r="F756">
        <v>216575</v>
      </c>
      <c r="G756">
        <v>12444</v>
      </c>
      <c r="H756">
        <v>2477</v>
      </c>
      <c r="I756">
        <v>1587</v>
      </c>
      <c r="J756">
        <v>674</v>
      </c>
      <c r="K756" s="4">
        <v>147196.81</v>
      </c>
      <c r="L756" s="4">
        <v>4576963.63</v>
      </c>
      <c r="M756" t="s">
        <v>35</v>
      </c>
      <c r="N756">
        <f t="shared" si="77"/>
        <v>1</v>
      </c>
      <c r="O756" t="str">
        <f>IF(AND(G756&lt;=F756,H756&lt;=G756,I756&lt;=H756,J756&lt;=I756),"OK","Check")</f>
        <v>OK</v>
      </c>
      <c r="P756" s="6">
        <f t="shared" si="78"/>
        <v>5.7458155373427218</v>
      </c>
      <c r="Q756" s="6">
        <f t="shared" si="79"/>
        <v>19.905175184828032</v>
      </c>
      <c r="R756" s="6">
        <f t="shared" si="80"/>
        <v>64.069438837303196</v>
      </c>
      <c r="S756" s="6">
        <f t="shared" si="81"/>
        <v>42.470069313169503</v>
      </c>
      <c r="T756" s="6">
        <f t="shared" si="82"/>
        <v>3009.4176769184064</v>
      </c>
      <c r="U756" s="6">
        <f t="shared" si="83"/>
        <v>31.09417676918406</v>
      </c>
    </row>
    <row r="757" spans="1:21" x14ac:dyDescent="0.3">
      <c r="A757" s="2">
        <v>45954</v>
      </c>
      <c r="B757" t="s">
        <v>14</v>
      </c>
      <c r="C757" t="s">
        <v>19</v>
      </c>
      <c r="D757" t="s">
        <v>24</v>
      </c>
      <c r="E757" t="s">
        <v>86</v>
      </c>
      <c r="F757">
        <v>71172</v>
      </c>
      <c r="G757">
        <v>4222</v>
      </c>
      <c r="H757">
        <v>908</v>
      </c>
      <c r="I757">
        <v>490</v>
      </c>
      <c r="J757">
        <v>236</v>
      </c>
      <c r="K757" s="4">
        <v>46274.85</v>
      </c>
      <c r="L757" s="4">
        <v>1760206.67</v>
      </c>
      <c r="M757" t="s">
        <v>33</v>
      </c>
      <c r="N757">
        <f t="shared" si="77"/>
        <v>1</v>
      </c>
      <c r="O757" t="str">
        <f>IF(AND(G757&lt;=F757,H757&lt;=G757,I757&lt;=H757,J757&lt;=I757),"OK","Check")</f>
        <v>OK</v>
      </c>
      <c r="P757" s="6">
        <f t="shared" si="78"/>
        <v>5.9321081324116225</v>
      </c>
      <c r="Q757" s="6">
        <f t="shared" si="79"/>
        <v>21.506395073424915</v>
      </c>
      <c r="R757" s="6">
        <f t="shared" si="80"/>
        <v>53.964757709251096</v>
      </c>
      <c r="S757" s="6">
        <f t="shared" si="81"/>
        <v>48.163265306122447</v>
      </c>
      <c r="T757" s="6">
        <f t="shared" si="82"/>
        <v>3703.8084834418692</v>
      </c>
      <c r="U757" s="6">
        <f t="shared" si="83"/>
        <v>38.038084834418697</v>
      </c>
    </row>
    <row r="758" spans="1:21" x14ac:dyDescent="0.3">
      <c r="A758" s="2">
        <v>45955</v>
      </c>
      <c r="B758" t="s">
        <v>14</v>
      </c>
      <c r="C758" t="s">
        <v>19</v>
      </c>
      <c r="D758" t="s">
        <v>24</v>
      </c>
      <c r="E758" t="s">
        <v>86</v>
      </c>
      <c r="F758">
        <v>198682</v>
      </c>
      <c r="G758">
        <v>8609</v>
      </c>
      <c r="H758">
        <v>1832</v>
      </c>
      <c r="I758">
        <v>1094</v>
      </c>
      <c r="J758">
        <v>574</v>
      </c>
      <c r="K758" s="4">
        <v>80603.11</v>
      </c>
      <c r="L758" s="4">
        <v>1777848.23</v>
      </c>
      <c r="M758" t="s">
        <v>32</v>
      </c>
      <c r="N758">
        <f t="shared" si="77"/>
        <v>1</v>
      </c>
      <c r="O758" t="str">
        <f>IF(AND(G758&lt;=F758,H758&lt;=G758,I758&lt;=H758,J758&lt;=I758),"OK","Check")</f>
        <v>OK</v>
      </c>
      <c r="P758" s="6">
        <f t="shared" si="78"/>
        <v>4.3330548313385213</v>
      </c>
      <c r="Q758" s="6">
        <f t="shared" si="79"/>
        <v>21.2800557556046</v>
      </c>
      <c r="R758" s="6">
        <f t="shared" si="80"/>
        <v>59.716157205240172</v>
      </c>
      <c r="S758" s="6">
        <f t="shared" si="81"/>
        <v>52.468007312614262</v>
      </c>
      <c r="T758" s="6">
        <f t="shared" si="82"/>
        <v>2105.6819271613713</v>
      </c>
      <c r="U758" s="6">
        <f t="shared" si="83"/>
        <v>22.056819271613712</v>
      </c>
    </row>
    <row r="759" spans="1:21" x14ac:dyDescent="0.3">
      <c r="A759" s="2">
        <v>45956</v>
      </c>
      <c r="B759" t="s">
        <v>14</v>
      </c>
      <c r="C759" t="s">
        <v>19</v>
      </c>
      <c r="D759" t="s">
        <v>24</v>
      </c>
      <c r="E759" t="s">
        <v>86</v>
      </c>
      <c r="F759">
        <v>87021</v>
      </c>
      <c r="G759">
        <v>6502</v>
      </c>
      <c r="H759">
        <v>1617</v>
      </c>
      <c r="I759">
        <v>998</v>
      </c>
      <c r="J759">
        <v>494</v>
      </c>
      <c r="K759" s="4">
        <v>46482.66</v>
      </c>
      <c r="L759" s="4">
        <v>2244803.69</v>
      </c>
      <c r="M759" t="s">
        <v>31</v>
      </c>
      <c r="N759">
        <f t="shared" si="77"/>
        <v>1</v>
      </c>
      <c r="O759" t="str">
        <f>IF(AND(G759&lt;=F759,H759&lt;=G759,I759&lt;=H759,J759&lt;=I759),"OK","Check")</f>
        <v>OK</v>
      </c>
      <c r="P759" s="6">
        <f t="shared" si="78"/>
        <v>7.4717596901897245</v>
      </c>
      <c r="Q759" s="6">
        <f t="shared" si="79"/>
        <v>24.86927099354045</v>
      </c>
      <c r="R759" s="6">
        <f t="shared" si="80"/>
        <v>61.719233147804573</v>
      </c>
      <c r="S759" s="6">
        <f t="shared" si="81"/>
        <v>49.498997995991985</v>
      </c>
      <c r="T759" s="6">
        <f t="shared" si="82"/>
        <v>4729.3356920623719</v>
      </c>
      <c r="U759" s="6">
        <f t="shared" si="83"/>
        <v>48.293356920623729</v>
      </c>
    </row>
    <row r="760" spans="1:21" x14ac:dyDescent="0.3">
      <c r="A760" s="2">
        <v>45957</v>
      </c>
      <c r="B760" t="s">
        <v>14</v>
      </c>
      <c r="C760" t="s">
        <v>19</v>
      </c>
      <c r="D760" t="s">
        <v>24</v>
      </c>
      <c r="E760" t="s">
        <v>86</v>
      </c>
      <c r="F760">
        <v>277676</v>
      </c>
      <c r="G760">
        <v>18342</v>
      </c>
      <c r="H760">
        <v>3757</v>
      </c>
      <c r="I760">
        <v>2032</v>
      </c>
      <c r="J760">
        <v>1017</v>
      </c>
      <c r="K760" s="4">
        <v>242232.32000000001</v>
      </c>
      <c r="L760" s="4">
        <v>5399981.2699999996</v>
      </c>
      <c r="M760" t="s">
        <v>32</v>
      </c>
      <c r="N760">
        <f t="shared" si="77"/>
        <v>1</v>
      </c>
      <c r="O760" t="str">
        <f>IF(AND(G760&lt;=F760,H760&lt;=G760,I760&lt;=H760,J760&lt;=I760),"OK","Check")</f>
        <v>OK</v>
      </c>
      <c r="P760" s="6">
        <f t="shared" si="78"/>
        <v>6.6055402699549113</v>
      </c>
      <c r="Q760" s="6">
        <f t="shared" si="79"/>
        <v>20.483044379020825</v>
      </c>
      <c r="R760" s="6">
        <f t="shared" si="80"/>
        <v>54.085706680862387</v>
      </c>
      <c r="S760" s="6">
        <f t="shared" si="81"/>
        <v>50.0492125984252</v>
      </c>
      <c r="T760" s="6">
        <f t="shared" si="82"/>
        <v>2129.2571321613891</v>
      </c>
      <c r="U760" s="6">
        <f t="shared" si="83"/>
        <v>22.292571321613892</v>
      </c>
    </row>
    <row r="761" spans="1:21" x14ac:dyDescent="0.3">
      <c r="A761" s="2">
        <v>45958</v>
      </c>
      <c r="B761" t="s">
        <v>14</v>
      </c>
      <c r="C761" t="s">
        <v>19</v>
      </c>
      <c r="D761" t="s">
        <v>24</v>
      </c>
      <c r="E761" t="s">
        <v>86</v>
      </c>
      <c r="F761">
        <v>132019</v>
      </c>
      <c r="G761">
        <v>9429</v>
      </c>
      <c r="H761">
        <v>2004</v>
      </c>
      <c r="I761">
        <v>1029</v>
      </c>
      <c r="J761">
        <v>542</v>
      </c>
      <c r="K761" s="4">
        <v>129503.53</v>
      </c>
      <c r="L761" s="4">
        <v>3403497</v>
      </c>
      <c r="M761" t="s">
        <v>34</v>
      </c>
      <c r="N761">
        <f t="shared" si="77"/>
        <v>1</v>
      </c>
      <c r="O761" t="str">
        <f>IF(AND(G761&lt;=F761,H761&lt;=G761,I761&lt;=H761,J761&lt;=I761),"OK","Check")</f>
        <v>OK</v>
      </c>
      <c r="P761" s="6">
        <f t="shared" si="78"/>
        <v>7.1421537808951747</v>
      </c>
      <c r="Q761" s="6">
        <f t="shared" si="79"/>
        <v>21.25357938275533</v>
      </c>
      <c r="R761" s="6">
        <f t="shared" si="80"/>
        <v>51.347305389221553</v>
      </c>
      <c r="S761" s="6">
        <f t="shared" si="81"/>
        <v>52.672497570456756</v>
      </c>
      <c r="T761" s="6">
        <f t="shared" si="82"/>
        <v>2528.1113727170218</v>
      </c>
      <c r="U761" s="6">
        <f t="shared" si="83"/>
        <v>26.281113727170219</v>
      </c>
    </row>
    <row r="762" spans="1:21" x14ac:dyDescent="0.3">
      <c r="A762" s="2">
        <v>45959</v>
      </c>
      <c r="B762" t="s">
        <v>14</v>
      </c>
      <c r="C762" t="s">
        <v>19</v>
      </c>
      <c r="D762" t="s">
        <v>24</v>
      </c>
      <c r="E762" t="s">
        <v>86</v>
      </c>
      <c r="F762">
        <v>89527</v>
      </c>
      <c r="G762">
        <v>5616</v>
      </c>
      <c r="H762">
        <v>865</v>
      </c>
      <c r="I762">
        <v>507</v>
      </c>
      <c r="J762">
        <v>215</v>
      </c>
      <c r="K762" s="4">
        <v>79011.86</v>
      </c>
      <c r="L762" s="4">
        <v>1224216.24</v>
      </c>
      <c r="M762" t="s">
        <v>34</v>
      </c>
      <c r="N762">
        <f t="shared" si="77"/>
        <v>1</v>
      </c>
      <c r="O762" t="str">
        <f>IF(AND(G762&lt;=F762,H762&lt;=G762,I762&lt;=H762,J762&lt;=I762),"OK","Check")</f>
        <v>OK</v>
      </c>
      <c r="P762" s="6">
        <f t="shared" si="78"/>
        <v>6.2729679314620173</v>
      </c>
      <c r="Q762" s="6">
        <f t="shared" si="79"/>
        <v>15.402421652421653</v>
      </c>
      <c r="R762" s="6">
        <f t="shared" si="80"/>
        <v>58.612716763005778</v>
      </c>
      <c r="S762" s="6">
        <f t="shared" si="81"/>
        <v>42.406311637080869</v>
      </c>
      <c r="T762" s="6">
        <f t="shared" si="82"/>
        <v>1449.4082027685461</v>
      </c>
      <c r="U762" s="6">
        <f t="shared" si="83"/>
        <v>15.494082027685463</v>
      </c>
    </row>
    <row r="763" spans="1:21" x14ac:dyDescent="0.3">
      <c r="A763" s="2">
        <v>45960</v>
      </c>
      <c r="B763" t="s">
        <v>14</v>
      </c>
      <c r="C763" t="s">
        <v>19</v>
      </c>
      <c r="D763" t="s">
        <v>24</v>
      </c>
      <c r="E763" t="s">
        <v>86</v>
      </c>
      <c r="F763">
        <v>232419</v>
      </c>
      <c r="G763">
        <v>17670</v>
      </c>
      <c r="H763">
        <v>3031</v>
      </c>
      <c r="I763">
        <v>1638</v>
      </c>
      <c r="J763">
        <v>975</v>
      </c>
      <c r="K763" s="4">
        <v>200506.15</v>
      </c>
      <c r="L763" s="4">
        <v>7007981.2999999998</v>
      </c>
      <c r="M763" t="s">
        <v>35</v>
      </c>
      <c r="N763">
        <f t="shared" si="77"/>
        <v>1</v>
      </c>
      <c r="O763" t="str">
        <f>IF(AND(G763&lt;=F763,H763&lt;=G763,I763&lt;=H763,J763&lt;=I763),"OK","Check")</f>
        <v>OK</v>
      </c>
      <c r="P763" s="6">
        <f t="shared" si="78"/>
        <v>7.6026486646960878</v>
      </c>
      <c r="Q763" s="6">
        <f t="shared" si="79"/>
        <v>17.153367289190719</v>
      </c>
      <c r="R763" s="6">
        <f t="shared" si="80"/>
        <v>54.041570438799077</v>
      </c>
      <c r="S763" s="6">
        <f t="shared" si="81"/>
        <v>59.523809523809526</v>
      </c>
      <c r="T763" s="6">
        <f t="shared" si="82"/>
        <v>3395.1453110041762</v>
      </c>
      <c r="U763" s="6">
        <f t="shared" si="83"/>
        <v>34.951453110041761</v>
      </c>
    </row>
    <row r="764" spans="1:21" x14ac:dyDescent="0.3">
      <c r="A764" s="2">
        <v>45961</v>
      </c>
      <c r="B764" t="s">
        <v>14</v>
      </c>
      <c r="C764" t="s">
        <v>19</v>
      </c>
      <c r="D764" t="s">
        <v>24</v>
      </c>
      <c r="E764" t="s">
        <v>86</v>
      </c>
      <c r="F764">
        <v>267804</v>
      </c>
      <c r="G764">
        <v>19472</v>
      </c>
      <c r="H764">
        <v>4863</v>
      </c>
      <c r="I764">
        <v>2431</v>
      </c>
      <c r="J764">
        <v>1100</v>
      </c>
      <c r="K764" s="4">
        <v>251059.32</v>
      </c>
      <c r="L764" s="4">
        <v>6675311.6799999997</v>
      </c>
      <c r="M764" t="s">
        <v>31</v>
      </c>
      <c r="N764">
        <f t="shared" si="77"/>
        <v>1</v>
      </c>
      <c r="O764" t="str">
        <f>IF(AND(G764&lt;=F764,H764&lt;=G764,I764&lt;=H764,J764&lt;=I764),"OK","Check")</f>
        <v>OK</v>
      </c>
      <c r="P764" s="6">
        <f t="shared" si="78"/>
        <v>7.2709892309300832</v>
      </c>
      <c r="Q764" s="6">
        <f t="shared" si="79"/>
        <v>24.974322103533279</v>
      </c>
      <c r="R764" s="6">
        <f t="shared" si="80"/>
        <v>49.989718280896568</v>
      </c>
      <c r="S764" s="6">
        <f t="shared" si="81"/>
        <v>45.248868778280546</v>
      </c>
      <c r="T764" s="6">
        <f t="shared" si="82"/>
        <v>2558.8583447131136</v>
      </c>
      <c r="U764" s="6">
        <f t="shared" si="83"/>
        <v>26.588583447131139</v>
      </c>
    </row>
    <row r="766" spans="1:21" x14ac:dyDescent="0.3">
      <c r="K766" s="4">
        <f>SUM(K2:K764)</f>
        <v>91448131.189999893</v>
      </c>
      <c r="L766" s="4">
        <f>SUM(L2:L764)</f>
        <v>2165462575.1999984</v>
      </c>
    </row>
    <row r="767" spans="1:21" x14ac:dyDescent="0.3">
      <c r="L767">
        <f>(L766-K766)/K766*100</f>
        <v>2267.9681006283895</v>
      </c>
    </row>
    <row r="768" spans="1:21" x14ac:dyDescent="0.3">
      <c r="L768">
        <f>L766/K766</f>
        <v>23.679681006283896</v>
      </c>
    </row>
  </sheetData>
  <autoFilter ref="A1:M764" xr:uid="{00000000-0001-0000-0000-000000000000}">
    <sortState xmlns:xlrd2="http://schemas.microsoft.com/office/spreadsheetml/2017/richdata2" ref="A2:M764">
      <sortCondition ref="A1:A764"/>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workbookViewId="0">
      <selection activeCell="M4" sqref="M4"/>
    </sheetView>
  </sheetViews>
  <sheetFormatPr defaultRowHeight="14.4" x14ac:dyDescent="0.3"/>
  <cols>
    <col min="1" max="1" width="11.21875" bestFit="1" customWidth="1"/>
    <col min="2" max="2" width="15.6640625" bestFit="1" customWidth="1"/>
    <col min="3" max="4" width="10.33203125" bestFit="1" customWidth="1"/>
    <col min="5" max="5" width="10.33203125" style="4" bestFit="1" customWidth="1"/>
    <col min="6" max="6" width="21.109375" bestFit="1" customWidth="1"/>
    <col min="7" max="7" width="12.44140625" bestFit="1" customWidth="1"/>
    <col min="8" max="8" width="8.5546875" bestFit="1" customWidth="1"/>
    <col min="9" max="9" width="10.109375" bestFit="1" customWidth="1"/>
    <col min="10" max="10" width="14.77734375" bestFit="1" customWidth="1"/>
  </cols>
  <sheetData>
    <row r="1" spans="1:10" x14ac:dyDescent="0.3">
      <c r="A1" s="1" t="s">
        <v>1</v>
      </c>
      <c r="B1" s="1" t="s">
        <v>36</v>
      </c>
      <c r="C1" s="1" t="s">
        <v>37</v>
      </c>
      <c r="D1" s="1" t="s">
        <v>38</v>
      </c>
      <c r="E1" s="3" t="s">
        <v>39</v>
      </c>
      <c r="F1" s="1" t="s">
        <v>40</v>
      </c>
      <c r="G1" s="1" t="s">
        <v>41</v>
      </c>
      <c r="H1" s="1" t="s">
        <v>42</v>
      </c>
      <c r="I1" s="1" t="s">
        <v>43</v>
      </c>
      <c r="J1" s="1" t="s">
        <v>44</v>
      </c>
    </row>
    <row r="2" spans="1:10" x14ac:dyDescent="0.3">
      <c r="A2" t="s">
        <v>13</v>
      </c>
      <c r="B2" t="s">
        <v>45</v>
      </c>
      <c r="C2" t="s">
        <v>50</v>
      </c>
      <c r="D2" t="s">
        <v>55</v>
      </c>
      <c r="E2" s="4">
        <v>1800000</v>
      </c>
      <c r="F2" t="s">
        <v>60</v>
      </c>
      <c r="G2" t="s">
        <v>65</v>
      </c>
      <c r="H2" t="s">
        <v>69</v>
      </c>
      <c r="I2" t="s">
        <v>23</v>
      </c>
      <c r="J2" t="s">
        <v>74</v>
      </c>
    </row>
    <row r="3" spans="1:10" x14ac:dyDescent="0.3">
      <c r="A3" t="s">
        <v>14</v>
      </c>
      <c r="B3" t="s">
        <v>46</v>
      </c>
      <c r="C3" t="s">
        <v>51</v>
      </c>
      <c r="D3" t="s">
        <v>56</v>
      </c>
      <c r="E3" s="4">
        <v>1500000</v>
      </c>
      <c r="F3" t="s">
        <v>61</v>
      </c>
      <c r="G3" t="s">
        <v>66</v>
      </c>
      <c r="H3" t="s">
        <v>70</v>
      </c>
      <c r="I3" t="s">
        <v>24</v>
      </c>
      <c r="J3" t="s">
        <v>75</v>
      </c>
    </row>
    <row r="4" spans="1:10" x14ac:dyDescent="0.3">
      <c r="A4" t="s">
        <v>15</v>
      </c>
      <c r="B4" t="s">
        <v>47</v>
      </c>
      <c r="C4" t="s">
        <v>52</v>
      </c>
      <c r="D4" t="s">
        <v>57</v>
      </c>
      <c r="E4" s="4">
        <v>1000000</v>
      </c>
      <c r="F4" t="s">
        <v>62</v>
      </c>
      <c r="G4" t="s">
        <v>67</v>
      </c>
      <c r="H4" t="s">
        <v>71</v>
      </c>
      <c r="I4" t="s">
        <v>25</v>
      </c>
      <c r="J4" t="s">
        <v>76</v>
      </c>
    </row>
    <row r="5" spans="1:10" x14ac:dyDescent="0.3">
      <c r="A5" t="s">
        <v>16</v>
      </c>
      <c r="B5" t="s">
        <v>48</v>
      </c>
      <c r="C5" t="s">
        <v>53</v>
      </c>
      <c r="D5" t="s">
        <v>58</v>
      </c>
      <c r="E5" s="4">
        <v>800000</v>
      </c>
      <c r="F5" t="s">
        <v>63</v>
      </c>
      <c r="G5" t="s">
        <v>66</v>
      </c>
      <c r="H5" t="s">
        <v>72</v>
      </c>
      <c r="I5" t="s">
        <v>26</v>
      </c>
      <c r="J5" t="s">
        <v>77</v>
      </c>
    </row>
    <row r="6" spans="1:10" x14ac:dyDescent="0.3">
      <c r="A6" t="s">
        <v>17</v>
      </c>
      <c r="B6" t="s">
        <v>49</v>
      </c>
      <c r="C6" t="s">
        <v>54</v>
      </c>
      <c r="D6" t="s">
        <v>59</v>
      </c>
      <c r="E6" s="4">
        <v>1200000</v>
      </c>
      <c r="F6" t="s">
        <v>64</v>
      </c>
      <c r="G6" t="s">
        <v>68</v>
      </c>
      <c r="H6" t="s">
        <v>73</v>
      </c>
      <c r="I6" t="s">
        <v>27</v>
      </c>
      <c r="J6" t="s">
        <v>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B1" sqref="B1:B1048576"/>
    </sheetView>
  </sheetViews>
  <sheetFormatPr defaultRowHeight="14.4" x14ac:dyDescent="0.3"/>
  <cols>
    <col min="1" max="1" width="10.109375" bestFit="1" customWidth="1"/>
    <col min="2" max="2" width="8.21875" bestFit="1" customWidth="1"/>
    <col min="3" max="3" width="7.5546875" bestFit="1" customWidth="1"/>
    <col min="4" max="4" width="18.88671875" bestFit="1" customWidth="1"/>
  </cols>
  <sheetData>
    <row r="1" spans="1:4" x14ac:dyDescent="0.3">
      <c r="A1" s="1" t="s">
        <v>43</v>
      </c>
      <c r="B1" s="1" t="s">
        <v>78</v>
      </c>
      <c r="C1" s="1" t="s">
        <v>79</v>
      </c>
      <c r="D1" s="1" t="s">
        <v>80</v>
      </c>
    </row>
    <row r="2" spans="1:4" x14ac:dyDescent="0.3">
      <c r="A2" t="s">
        <v>23</v>
      </c>
      <c r="B2">
        <v>80</v>
      </c>
      <c r="C2">
        <v>12</v>
      </c>
      <c r="D2" t="s">
        <v>81</v>
      </c>
    </row>
    <row r="3" spans="1:4" x14ac:dyDescent="0.3">
      <c r="A3" t="s">
        <v>24</v>
      </c>
      <c r="B3">
        <v>70</v>
      </c>
      <c r="C3">
        <v>10</v>
      </c>
      <c r="D3" t="s">
        <v>82</v>
      </c>
    </row>
    <row r="4" spans="1:4" x14ac:dyDescent="0.3">
      <c r="A4" t="s">
        <v>25</v>
      </c>
      <c r="B4">
        <v>120</v>
      </c>
      <c r="C4">
        <v>20</v>
      </c>
      <c r="D4" t="s">
        <v>83</v>
      </c>
    </row>
    <row r="5" spans="1:4" x14ac:dyDescent="0.3">
      <c r="A5" t="s">
        <v>26</v>
      </c>
      <c r="B5">
        <v>90</v>
      </c>
      <c r="C5">
        <v>15</v>
      </c>
      <c r="D5" t="s">
        <v>84</v>
      </c>
    </row>
    <row r="6" spans="1:4" x14ac:dyDescent="0.3">
      <c r="A6" t="s">
        <v>27</v>
      </c>
      <c r="B6">
        <v>60</v>
      </c>
      <c r="C6">
        <v>9</v>
      </c>
      <c r="D6"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Marketing Campaign Performance </vt:lpstr>
      <vt:lpstr>Business Insights Report</vt:lpstr>
      <vt:lpstr>Roi_Analysis</vt:lpstr>
      <vt:lpstr>CampaignPerformance</vt:lpstr>
      <vt:lpstr>CampaignMeta</vt:lpstr>
      <vt:lpstr>ChannelRates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Mamta Kumari Jaiswal</cp:lastModifiedBy>
  <cp:lastPrinted>2026-10-15T16:14:09Z</cp:lastPrinted>
  <dcterms:created xsi:type="dcterms:W3CDTF">2025-11-09T16:51:42Z</dcterms:created>
  <dcterms:modified xsi:type="dcterms:W3CDTF">2026-10-15T16:16:20Z</dcterms:modified>
</cp:coreProperties>
</file>